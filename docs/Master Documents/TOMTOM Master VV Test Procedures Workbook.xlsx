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 showInkAnnotation="0" autoCompressPictures="0"/>
  <xr:revisionPtr revIDLastSave="0" documentId="8_{194E7F45-56FE-4CC7-97F7-FAA204F90676}" xr6:coauthVersionLast="47" xr6:coauthVersionMax="47" xr10:uidLastSave="{00000000-0000-0000-0000-000000000000}"/>
  <bookViews>
    <workbookView xWindow="0" yWindow="0" windowWidth="0" windowHeight="0" activeTab="5" xr2:uid="{00000000-000D-0000-FFFF-FFFF00000000}"/>
  </bookViews>
  <sheets>
    <sheet name="Requirements Master" sheetId="1" r:id="rId1"/>
    <sheet name="GCS Verification" sheetId="2" r:id="rId2"/>
    <sheet name="UAV Verification" sheetId="3" r:id="rId3"/>
    <sheet name="System Integration" sheetId="4" r:id="rId4"/>
    <sheet name="Flight Test" sheetId="5" r:id="rId5"/>
    <sheet name="Test Procedures" sheetId="6" r:id="rId6"/>
    <sheet name="Verification Events" sheetId="7" r:id="rId7"/>
    <sheet name="Verification Summary" sheetId="8" r:id="rId8"/>
    <sheet name="Lists" sheetId="9" r:id="rId9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8" l="1"/>
  <c r="B9" i="8"/>
  <c r="B8" i="8"/>
  <c r="B7" i="8"/>
  <c r="B6" i="8"/>
  <c r="B5" i="8"/>
  <c r="B4" i="8"/>
  <c r="B3" i="8"/>
  <c r="B2" i="8"/>
</calcChain>
</file>

<file path=xl/sharedStrings.xml><?xml version="1.0" encoding="utf-8"?>
<sst xmlns="http://schemas.openxmlformats.org/spreadsheetml/2006/main" count="3153" uniqueCount="660">
  <si>
    <t>Requirement ID</t>
  </si>
  <si>
    <t>Requirement Statement</t>
  </si>
  <si>
    <t>Category</t>
  </si>
  <si>
    <t>Subsystem / Configuration</t>
  </si>
  <si>
    <t>Assigned Matrix</t>
  </si>
  <si>
    <t>Verification Method</t>
  </si>
  <si>
    <t>Verification Level</t>
  </si>
  <si>
    <t>Procedure ID</t>
  </si>
  <si>
    <t>Test Case ID</t>
  </si>
  <si>
    <t>Verification Event</t>
  </si>
  <si>
    <t>Acceptance Criteria</t>
  </si>
  <si>
    <t>Status</t>
  </si>
  <si>
    <t>Result</t>
  </si>
  <si>
    <t>Report ID</t>
  </si>
  <si>
    <t>Evidence ID</t>
  </si>
  <si>
    <t>Anomaly ID</t>
  </si>
  <si>
    <t>Verified By</t>
  </si>
  <si>
    <t>Verification Date</t>
  </si>
  <si>
    <t>STK-001</t>
  </si>
  <si>
    <t>The system shall provide real-time aerial reconnaissance.</t>
  </si>
  <si>
    <t>Stakeholder</t>
  </si>
  <si>
    <t>Mission System</t>
  </si>
  <si>
    <t>System Integration</t>
  </si>
  <si>
    <t>Demonstration</t>
  </si>
  <si>
    <t>System</t>
  </si>
  <si>
    <t>TP-003</t>
  </si>
  <si>
    <t>TC-SYS-001</t>
  </si>
  <si>
    <t>VE-007</t>
  </si>
  <si>
    <t>The system collects and displays live reconnaissance information from the designated area of interest.</t>
  </si>
  <si>
    <t>Planned</t>
  </si>
  <si>
    <t>STK-002</t>
  </si>
  <si>
    <t>The system shall support remote operation by a single operator.</t>
  </si>
  <si>
    <t>Operations</t>
  </si>
  <si>
    <t>TC-SYS-002</t>
  </si>
  <si>
    <t>VE-002</t>
  </si>
  <si>
    <t>One trained operator completes configuration, launch, mission monitoring, recovery, and shutdown without additional operators.</t>
  </si>
  <si>
    <t>STK-003</t>
  </si>
  <si>
    <t>The system shall provide live video to the operator.</t>
  </si>
  <si>
    <t>Payload/GCS</t>
  </si>
  <si>
    <t>Test</t>
  </si>
  <si>
    <t>TP-005</t>
  </si>
  <si>
    <t>TC-PAY-001</t>
  </si>
  <si>
    <t>VE-004</t>
  </si>
  <si>
    <t>Live video is displayed at the GCS continuously under nominal link conditions.</t>
  </si>
  <si>
    <t>STK-004</t>
  </si>
  <si>
    <t>The system shall support target observation.</t>
  </si>
  <si>
    <t>Payload</t>
  </si>
  <si>
    <t>Flight Test</t>
  </si>
  <si>
    <t>Flight</t>
  </si>
  <si>
    <t>TP-009</t>
  </si>
  <si>
    <t>TC-FLT-001</t>
  </si>
  <si>
    <t>The operator observes and maintains visual awareness of a designated target or point of interest.</t>
  </si>
  <si>
    <t>STK-005</t>
  </si>
  <si>
    <t>The system shall support GPS-enabled missions.</t>
  </si>
  <si>
    <t>Navigation</t>
  </si>
  <si>
    <t>TP-006</t>
  </si>
  <si>
    <t>TC-NAV-001</t>
  </si>
  <si>
    <t>The air vehicle completes a planned mission using GNSS position and waypoint navigation.</t>
  </si>
  <si>
    <t>STK-006</t>
  </si>
  <si>
    <t>The system shall support operation in GPS-denied environments.</t>
  </si>
  <si>
    <t>TC-NAV-002</t>
  </si>
  <si>
    <t>The system continues controlled operation and supports the planned degraded-GNSS mission objective without relying on valid GNSS position.</t>
  </si>
  <si>
    <t>STK-007</t>
  </si>
  <si>
    <t>The system shall provide mission data recording.</t>
  </si>
  <si>
    <t>Data Management</t>
  </si>
  <si>
    <t>TP-002</t>
  </si>
  <si>
    <t>TC-DAT-001</t>
  </si>
  <si>
    <t>Mission telemetry, events, and available imagery/video are recorded and retrievable after mission completion.</t>
  </si>
  <si>
    <t>STK-008</t>
  </si>
  <si>
    <t>The system shall be transportable by one person.</t>
  </si>
  <si>
    <t>Mechanical</t>
  </si>
  <si>
    <t>GCS Verification</t>
  </si>
  <si>
    <t>Inspection</t>
  </si>
  <si>
    <t>TP-001</t>
  </si>
  <si>
    <t>TC-MNT-001</t>
  </si>
  <si>
    <t>VE-001</t>
  </si>
  <si>
    <t>One person can lift, carry, and deploy the transport configuration without disassembly beyond normal setup actions.</t>
  </si>
  <si>
    <t>STK-009</t>
  </si>
  <si>
    <t>The system shall minimize deployment time.</t>
  </si>
  <si>
    <t>TC-SYS-003</t>
  </si>
  <si>
    <t>The system reaches mission-ready status within the SYS-PER-005 threshold.</t>
  </si>
  <si>
    <t>STK-010</t>
  </si>
  <si>
    <t>The system shall operate with the TOMTOM Ground Control Station.</t>
  </si>
  <si>
    <t>GCS</t>
  </si>
  <si>
    <t>TP-011</t>
  </si>
  <si>
    <t>TC-GCS-001</t>
  </si>
  <si>
    <t>The air vehicle exchanges command, telemetry, and payload data with the TOMTOM GCS.</t>
  </si>
  <si>
    <t>OPS-001</t>
  </si>
  <si>
    <t>The operator shall be capable of configuring the mission before launch.</t>
  </si>
  <si>
    <t>Operational</t>
  </si>
  <si>
    <t>Mission Management</t>
  </si>
  <si>
    <t>TC-MIS-001</t>
  </si>
  <si>
    <t>The operator creates and saves a valid mission configuration before launch.</t>
  </si>
  <si>
    <t>OPS-002</t>
  </si>
  <si>
    <t>The operator shall monitor vehicle health throughout the mission.</t>
  </si>
  <si>
    <t>GCS/HMI</t>
  </si>
  <si>
    <t>TC-GCS-002</t>
  </si>
  <si>
    <t>Vehicle health indicators remain visible and update throughout mission execution.</t>
  </si>
  <si>
    <t>OPS-003</t>
  </si>
  <si>
    <t>The system shall support autonomous waypoint navigation.</t>
  </si>
  <si>
    <t>TC-NAV-003</t>
  </si>
  <si>
    <t>The air vehicle follows the uploaded waypoint sequence within defined navigation tolerances.</t>
  </si>
  <si>
    <t>OPS-004</t>
  </si>
  <si>
    <t>The system shall support manual flight.</t>
  </si>
  <si>
    <t>Flight Control</t>
  </si>
  <si>
    <t>TC-FLT-002</t>
  </si>
  <si>
    <t>The operator commands stable manual flight through the required maneuver set.</t>
  </si>
  <si>
    <t>OPS-005</t>
  </si>
  <si>
    <t>The operator shall receive mission alerts in real time.</t>
  </si>
  <si>
    <t>HMI</t>
  </si>
  <si>
    <t>TC-HMI-001</t>
  </si>
  <si>
    <t>Configured alerts are displayed within 1 second of detection.</t>
  </si>
  <si>
    <t>OPS-006</t>
  </si>
  <si>
    <t>The operator shall initiate Return-to-Launch.</t>
  </si>
  <si>
    <t>Flight Control/GCS</t>
  </si>
  <si>
    <t>TC-FLT-003</t>
  </si>
  <si>
    <t>The operator initiates RTL from the GCS and the air vehicle begins the configured return sequence.</t>
  </si>
  <si>
    <t>OPS-007</t>
  </si>
  <si>
    <t>The system shall maintain communication with the GCS whenever possible.</t>
  </si>
  <si>
    <t>Communications</t>
  </si>
  <si>
    <t>TP-004</t>
  </si>
  <si>
    <t>TC-COM-001</t>
  </si>
  <si>
    <t>VE-003</t>
  </si>
  <si>
    <t>Command and telemetry links remain available throughout the nominal test profile except during induced interruptions.</t>
  </si>
  <si>
    <t>OPS-008</t>
  </si>
  <si>
    <t>The system shall recover from temporary communication loss.</t>
  </si>
  <si>
    <t>TC-COM-002</t>
  </si>
  <si>
    <t>The system detects the interruption and restores communication after the link is reintroduced.</t>
  </si>
  <si>
    <t>OPS-009</t>
  </si>
  <si>
    <t>The system shall record mission telemetry.</t>
  </si>
  <si>
    <t>TC-DAT-002</t>
  </si>
  <si>
    <t>Required telemetry is recorded for the full mission interval and is readable after shutdown.</t>
  </si>
  <si>
    <t>OPS-010</t>
  </si>
  <si>
    <t>The operator shall terminate the mission safely.</t>
  </si>
  <si>
    <t>Safety/Operations</t>
  </si>
  <si>
    <t>TP-008</t>
  </si>
  <si>
    <t>TC-SAF-001</t>
  </si>
  <si>
    <t>The operator commands mission termination and the system enters a safe landing, recovery, or shutdown state.</t>
  </si>
  <si>
    <t>SYS-FUN-001</t>
  </si>
  <si>
    <t>The system shall initialize all onboard subsystems prior to flight.</t>
  </si>
  <si>
    <t>Functional</t>
  </si>
  <si>
    <t>UAV Verification</t>
  </si>
  <si>
    <t>Subsystem</t>
  </si>
  <si>
    <t>TC-FUN-001</t>
  </si>
  <si>
    <t>All required onboard subsystems report initialized and ready before arming.</t>
  </si>
  <si>
    <t>SYS-FUN-002</t>
  </si>
  <si>
    <t>The system shall execute autonomous waypoint missions.</t>
  </si>
  <si>
    <t>TC-NAV-004</t>
  </si>
  <si>
    <t>The vehicle executes the complete uploaded waypoint mission without unintended mode changes.</t>
  </si>
  <si>
    <t>SYS-FUN-003</t>
  </si>
  <si>
    <t>The system shall support manual flight control.</t>
  </si>
  <si>
    <t>TC-FLT-004</t>
  </si>
  <si>
    <t>Manual control inputs produce the commanded roll, pitch, yaw, and throttle responses.</t>
  </si>
  <si>
    <t>SYS-FUN-004</t>
  </si>
  <si>
    <t>The system shall execute Return-to-Launch.</t>
  </si>
  <si>
    <t>TC-FLT-005</t>
  </si>
  <si>
    <t>RTL causes the vehicle to return to the configured location and complete the configured recovery behavior.</t>
  </si>
  <si>
    <t>SYS-FUN-005</t>
  </si>
  <si>
    <t>The system shall provide preflight health monitoring.</t>
  </si>
  <si>
    <t>Health Management</t>
  </si>
  <si>
    <t>TC-REL-001</t>
  </si>
  <si>
    <t>Preflight status identifies readiness and any configured blocking faults before arming.</t>
  </si>
  <si>
    <t>SYS-FUN-020</t>
  </si>
  <si>
    <t>The system shall provide live video.</t>
  </si>
  <si>
    <t>TC-PAY-002</t>
  </si>
  <si>
    <t>Live payload video is received and displayed at the GCS under nominal conditions.</t>
  </si>
  <si>
    <t>SYS-FUN-021</t>
  </si>
  <si>
    <t>The system shall support digital zoom.</t>
  </si>
  <si>
    <t>TC-PAY-003</t>
  </si>
  <si>
    <t>The operator changes digital zoom level and the displayed image reflects the commanded setting.</t>
  </si>
  <si>
    <t>SYS-FUN-022</t>
  </si>
  <si>
    <t>The system shall capture still imagery.</t>
  </si>
  <si>
    <t>TC-PAY-004</t>
  </si>
  <si>
    <t>A still image is captured on command and stored without corruption.</t>
  </si>
  <si>
    <t>SYS-FUN-023</t>
  </si>
  <si>
    <t>The system shall record mission video.</t>
  </si>
  <si>
    <t>Payload/Data</t>
  </si>
  <si>
    <t>TC-PAY-005</t>
  </si>
  <si>
    <t>Video recording starts, stops, and produces a playable stored file.</t>
  </si>
  <si>
    <t>SYS-FUN-024</t>
  </si>
  <si>
    <t>The operator shall control camera orientation.</t>
  </si>
  <si>
    <t>TC-PAY-006</t>
  </si>
  <si>
    <t>Operator camera orientation commands produce the corresponding payload movement or view change.</t>
  </si>
  <si>
    <t>SYS-PER-001</t>
  </si>
  <si>
    <t>The system shall support a minimum flight endurance of 15 minutes.</t>
  </si>
  <si>
    <t>Performance</t>
  </si>
  <si>
    <t>Flight Performance</t>
  </si>
  <si>
    <t>TC-PER-001</t>
  </si>
  <si>
    <t>The air vehicle remains operational for at least 15 minutes under the defined nominal mission profile.</t>
  </si>
  <si>
    <t>SYS-PER-002</t>
  </si>
  <si>
    <t>The system shall stream live video at a minimum resolution of 1280 × 720 pixels at 30 frames per second.</t>
  </si>
  <si>
    <t>TC-PER-002</t>
  </si>
  <si>
    <t>The GCS receives video at 1280 × 720 resolution and at least 30 frames per second under nominal link conditions.</t>
  </si>
  <si>
    <t>SYS-PER-003</t>
  </si>
  <si>
    <t>The system shall update essential telemetry at a minimum frequency of 5 Hz.</t>
  </si>
  <si>
    <t>TC-PER-003</t>
  </si>
  <si>
    <t>Measured essential telemetry update rate is at least 5 Hz during nominal operation.</t>
  </si>
  <si>
    <t>SYS-PER-004</t>
  </si>
  <si>
    <t>The system shall maintain command-and-control and telemetry connectivity at a minimum line-of-sight range of 500 meters.</t>
  </si>
  <si>
    <t>TC-PER-004</t>
  </si>
  <si>
    <t>Command-and-control and telemetry remain usable at 500 meters line of sight.</t>
  </si>
  <si>
    <t>SYS-PER-005</t>
  </si>
  <si>
    <t>The system shall become mission-ready within 5 minutes after removal from its transport configuration.</t>
  </si>
  <si>
    <t>TC-PER-005</t>
  </si>
  <si>
    <t>Elapsed time from opening the transport configuration to mission-ready status is 5 minutes or less.</t>
  </si>
  <si>
    <t>SYS-INT-001</t>
  </si>
  <si>
    <t>The system shall interface with QGroundControl.</t>
  </si>
  <si>
    <t>Interface</t>
  </si>
  <si>
    <t>GCS Software</t>
  </si>
  <si>
    <t>TC-INT-001</t>
  </si>
  <si>
    <t>QGroundControl connects to the vehicle and supports mission upload, telemetry display, and command functions.</t>
  </si>
  <si>
    <t>SYS-INT-002</t>
  </si>
  <si>
    <t>The system shall communicate using MAVLink.</t>
  </si>
  <si>
    <t>TC-INT-002</t>
  </si>
  <si>
    <t>Valid MAVLink messages are exchanged between the flight system and GCS.</t>
  </si>
  <si>
    <t>SYS-INT-003</t>
  </si>
  <si>
    <t>The system shall support Ethernet communications.</t>
  </si>
  <si>
    <t>GCS Communications</t>
  </si>
  <si>
    <t>TC-INT-003</t>
  </si>
  <si>
    <t>The GCS establishes Ethernet connectivity and successfully transfers data.</t>
  </si>
  <si>
    <t>SYS-INT-004</t>
  </si>
  <si>
    <t>The system shall support USB peripheral connections.</t>
  </si>
  <si>
    <t>GCS Interfaces</t>
  </si>
  <si>
    <t>TC-INT-004</t>
  </si>
  <si>
    <t>Configured USB peripherals enumerate and operate without errors.</t>
  </si>
  <si>
    <t>SYS-INT-005</t>
  </si>
  <si>
    <t>The system shall interface with the TOMTOM GCS.</t>
  </si>
  <si>
    <t>GCS/System</t>
  </si>
  <si>
    <t>TC-INT-005</t>
  </si>
  <si>
    <t>Required command, telemetry, and payload interfaces function between the air vehicle and TOMTOM GCS.</t>
  </si>
  <si>
    <t>SYS-ENV-001</t>
  </si>
  <si>
    <t>The system shall operate outdoors.</t>
  </si>
  <si>
    <t>Environmental</t>
  </si>
  <si>
    <t>Environment</t>
  </si>
  <si>
    <t>TP-007</t>
  </si>
  <si>
    <t>TC-ENV-001</t>
  </si>
  <si>
    <t>VE-006</t>
  </si>
  <si>
    <t>The system completes the defined outdoor operational test without loss of required functionality.</t>
  </si>
  <si>
    <t>SYS-ENV-002</t>
  </si>
  <si>
    <t>The system shall tolerate light precipitation.</t>
  </si>
  <si>
    <t>TC-ENV-002</t>
  </si>
  <si>
    <t>Following controlled light-water exposure within test limits, no unsafe condition or required-function failure occurs.</t>
  </si>
  <si>
    <t>SYS-ENV-003</t>
  </si>
  <si>
    <t>The system shall operate in direct sunlight.</t>
  </si>
  <si>
    <t>TC-ENV-003</t>
  </si>
  <si>
    <t>Displays remain usable and required functions operate during direct-sunlight exposure.</t>
  </si>
  <si>
    <t>SYS-ENV-004</t>
  </si>
  <si>
    <t>The system shall tolerate transportation-induced vibration.</t>
  </si>
  <si>
    <t>Assembly</t>
  </si>
  <si>
    <t>TC-ENV-004</t>
  </si>
  <si>
    <t>After the transportation-vibration profile, hardware remains secure and passes post-test functional checks.</t>
  </si>
  <si>
    <t>SYS-ENV-005</t>
  </si>
  <si>
    <t>The system shall operate over the specified temperature range.</t>
  </si>
  <si>
    <t>TC-ENV-005</t>
  </si>
  <si>
    <t>The system completes startup and nominal functional checks at the defined minimum and maximum operating temperatures.</t>
  </si>
  <si>
    <t>SYS-SAF-001</t>
  </si>
  <si>
    <t>The system shall monitor battery health.</t>
  </si>
  <si>
    <t>Safety</t>
  </si>
  <si>
    <t>Power</t>
  </si>
  <si>
    <t>TP-012</t>
  </si>
  <si>
    <t>TC-SAF-002</t>
  </si>
  <si>
    <t>Battery voltage, remaining capacity, and configured health status are available during operation.</t>
  </si>
  <si>
    <t>SYS-SAF-002</t>
  </si>
  <si>
    <t>The system shall prevent motor arming until preflight checks are complete.</t>
  </si>
  <si>
    <t>Flight Safety</t>
  </si>
  <si>
    <t>TC-SAF-003</t>
  </si>
  <si>
    <t>Arming is rejected while a configured blocking preflight condition exists and allowed after the condition is cleared.</t>
  </si>
  <si>
    <t>SYS-SAF-003</t>
  </si>
  <si>
    <t>The system shall execute emergency landing procedures when required.</t>
  </si>
  <si>
    <t>TC-SAF-004</t>
  </si>
  <si>
    <t>The induced emergency condition causes the configured controlled landing behavior.</t>
  </si>
  <si>
    <t>SYS-SAF-004</t>
  </si>
  <si>
    <t>The system shall notify the operator of critical failures.</t>
  </si>
  <si>
    <t>HMI/Safety</t>
  </si>
  <si>
    <t>TC-SAF-005</t>
  </si>
  <si>
    <t>Each induced critical fault produces a clearly identifiable operator alert.</t>
  </si>
  <si>
    <t>SYS-SAF-005</t>
  </si>
  <si>
    <t>The system shall support Return-to-Launch following loss of communication, when configured to do so.</t>
  </si>
  <si>
    <t>TC-SAF-006</t>
  </si>
  <si>
    <t>Loss of communication triggers the configured RTL response after the defined timeout.</t>
  </si>
  <si>
    <t>SYS-REL-001</t>
  </si>
  <si>
    <t>The system shall monitor subsystem health.</t>
  </si>
  <si>
    <t>Reliability</t>
  </si>
  <si>
    <t>TC-REL-002</t>
  </si>
  <si>
    <t>Required subsystem health states are visible and update during operation.</t>
  </si>
  <si>
    <t>SYS-REL-002</t>
  </si>
  <si>
    <t>The system shall log system faults.</t>
  </si>
  <si>
    <t>TC-REL-003</t>
  </si>
  <si>
    <t>Induced faults are recorded with time and fault identification.</t>
  </si>
  <si>
    <t>SYS-REL-003</t>
  </si>
  <si>
    <t>The system shall recover from transient communication failures.</t>
  </si>
  <si>
    <t>TC-REL-004</t>
  </si>
  <si>
    <t>Communication resumes after a transient interruption without requiring a full system restart.</t>
  </si>
  <si>
    <t>SYS-REL-004</t>
  </si>
  <si>
    <t>The system shall continue operation following non-critical subsystem faults when safe to do so.</t>
  </si>
  <si>
    <t>Fault Management</t>
  </si>
  <si>
    <t>TC-REL-005</t>
  </si>
  <si>
    <t>After an induced non-critical fault, unaffected required functions continue and the operator receives status information.</t>
  </si>
  <si>
    <t>SYS-SEC-001</t>
  </si>
  <si>
    <t>The system shall authenticate operator access.</t>
  </si>
  <si>
    <t>Security</t>
  </si>
  <si>
    <t>Cybersecurity</t>
  </si>
  <si>
    <t>TP-010</t>
  </si>
  <si>
    <t>TC-SEC-001</t>
  </si>
  <si>
    <t>VE-005</t>
  </si>
  <si>
    <t>Protected operator functions are unavailable until valid authentication is completed.</t>
  </si>
  <si>
    <t>SYS-SEC-002</t>
  </si>
  <si>
    <t>The system shall protect mission data.</t>
  </si>
  <si>
    <t>Cybersecurity/Data</t>
  </si>
  <si>
    <t>TC-SEC-002</t>
  </si>
  <si>
    <t>Configured operating-system or application controls restrict unauthorized mission-data modification.</t>
  </si>
  <si>
    <t>SYS-SEC-003</t>
  </si>
  <si>
    <t>The system shall support encrypted communications where available.</t>
  </si>
  <si>
    <t>Cybersecurity/Comms</t>
  </si>
  <si>
    <t>TC-SEC-003</t>
  </si>
  <si>
    <t>When enabled and supported, captured network traffic confirms the protected link is encrypted.</t>
  </si>
  <si>
    <t>SYS-SEC-004</t>
  </si>
  <si>
    <t>The system shall maintain audit logs of mission activities.</t>
  </si>
  <si>
    <t>TC-SEC-004</t>
  </si>
  <si>
    <t>Configured mission and access events appear in the audit log with usable timestamps.</t>
  </si>
  <si>
    <t>SYS-MIS-001</t>
  </si>
  <si>
    <t>The system shall permit the operator to create a mission plan before launch.</t>
  </si>
  <si>
    <t>TC-MIS-002</t>
  </si>
  <si>
    <t>The operator creates and saves a mission plan containing the required mission elements.</t>
  </si>
  <si>
    <t>SYS-MIS-002</t>
  </si>
  <si>
    <t>The system shall permit the operator to modify a mission plan before launch.</t>
  </si>
  <si>
    <t>TC-MIS-003</t>
  </si>
  <si>
    <t>The operator edits and saves an existing mission plan before launch.</t>
  </si>
  <si>
    <t>SYS-MIS-003</t>
  </si>
  <si>
    <t>The system shall permit the operator to upload a mission plan to the air vehicle.</t>
  </si>
  <si>
    <t>TC-MIS-004</t>
  </si>
  <si>
    <t>The uploaded mission is acknowledged by the air vehicle and matches the source plan.</t>
  </si>
  <si>
    <t>SYS-MIS-004</t>
  </si>
  <si>
    <t>The system shall validate mission-plan data before permitting mission execution.</t>
  </si>
  <si>
    <t>TC-MIS-005</t>
  </si>
  <si>
    <t>Invalid or incomplete mission data is rejected or flagged before execution.</t>
  </si>
  <si>
    <t>SYS-MIS-005</t>
  </si>
  <si>
    <t>The system shall display the planned flight route to the operator.</t>
  </si>
  <si>
    <t>TC-MIS-006</t>
  </si>
  <si>
    <t>The complete planned route is displayed on the GCS map before launch.</t>
  </si>
  <si>
    <t>SYS-MIS-006</t>
  </si>
  <si>
    <t>The system shall permit the operator to pause, resume, or terminate an active autonomous mission.</t>
  </si>
  <si>
    <t>TC-MIS-007</t>
  </si>
  <si>
    <t>Pause, resume, and terminate commands each produce the configured mission response.</t>
  </si>
  <si>
    <t>SYS-NAV-001</t>
  </si>
  <si>
    <t>The system shall determine the geographic position of the air vehicle during GNSS-available operations.</t>
  </si>
  <si>
    <t>TC-NAV-005</t>
  </si>
  <si>
    <t>A valid geographic position is produced and displayed during GNSS-available operation.</t>
  </si>
  <si>
    <t>SYS-NAV-002</t>
  </si>
  <si>
    <t>The system shall determine the altitude of the air vehicle during flight.</t>
  </si>
  <si>
    <t>TC-NAV-006</t>
  </si>
  <si>
    <t>Altitude is reported throughout flight and is consistent with the reference measurement within the defined tolerance.</t>
  </si>
  <si>
    <t>SYS-NAV-003</t>
  </si>
  <si>
    <t>The system shall determine the heading of the air vehicle during flight.</t>
  </si>
  <si>
    <t>TC-NAV-007</t>
  </si>
  <si>
    <t>Heading is reported throughout flight and responds correctly to commanded yaw changes.</t>
  </si>
  <si>
    <t>SYS-NAV-004</t>
  </si>
  <si>
    <t>The system shall estimate vehicle motion during temporary GNSS loss.</t>
  </si>
  <si>
    <t>TC-NAV-008</t>
  </si>
  <si>
    <t>During temporary GNSS loss, the system continues to provide usable motion or state estimates for the defined interval.</t>
  </si>
  <si>
    <t>SYS-NAV-005</t>
  </si>
  <si>
    <t>The system shall notify the operator when GNSS position accuracy falls below the established mission threshold.</t>
  </si>
  <si>
    <t>Navigation/HMI</t>
  </si>
  <si>
    <t>TC-NAV-009</t>
  </si>
  <si>
    <t>A degraded-position alert is displayed when the configured accuracy threshold is exceeded.</t>
  </si>
  <si>
    <t>SYS-NAV-006</t>
  </si>
  <si>
    <t>The system shall record the geographic coordinates associated with collected mission imagery.</t>
  </si>
  <si>
    <t>Navigation/Data</t>
  </si>
  <si>
    <t>TC-NAV-010</t>
  </si>
  <si>
    <t>Captured imagery contains or is associated with the corresponding recorded coordinates.</t>
  </si>
  <si>
    <t>SYS-COM-001</t>
  </si>
  <si>
    <t>The system shall transmit command-and-control data between the air vehicle and GCS.</t>
  </si>
  <si>
    <t>TC-COM-003</t>
  </si>
  <si>
    <t>Valid operator commands are received and acknowledged by the air vehicle.</t>
  </si>
  <si>
    <t>SYS-COM-002</t>
  </si>
  <si>
    <t>The system shall transmit vehicle telemetry from the air vehicle to the GCS.</t>
  </si>
  <si>
    <t>TC-COM-004</t>
  </si>
  <si>
    <t>Required telemetry is received and displayed at the GCS.</t>
  </si>
  <si>
    <t>SYS-COM-003</t>
  </si>
  <si>
    <t>The system shall transmit live payload video from the air vehicle to the GCS.</t>
  </si>
  <si>
    <t>Communications/Payload</t>
  </si>
  <si>
    <t>TC-COM-005</t>
  </si>
  <si>
    <t>Live payload video is received at the GCS under nominal link conditions.</t>
  </si>
  <si>
    <t>SYS-COM-004</t>
  </si>
  <si>
    <t>The system shall detect loss of the command-and-control link.</t>
  </si>
  <si>
    <t>TC-COM-006</t>
  </si>
  <si>
    <t>The system declares command-and-control link loss after the configured timeout.</t>
  </si>
  <si>
    <t>SYS-COM-005</t>
  </si>
  <si>
    <t>The system shall attempt to reestablish communications following a temporary link interruption.</t>
  </si>
  <si>
    <t>TC-COM-007</t>
  </si>
  <si>
    <t>The system initiates reconnection attempts and restores the link when the connection becomes available.</t>
  </si>
  <si>
    <t>SYS-COM-006</t>
  </si>
  <si>
    <t>The system shall notify the operator when command, telemetry, or video communications are degraded or lost.</t>
  </si>
  <si>
    <t>Communications/HMI</t>
  </si>
  <si>
    <t>TC-COM-008</t>
  </si>
  <si>
    <t>Separate degraded or lost-link indications are displayed for command, telemetry, and video links.</t>
  </si>
  <si>
    <t>SYS-PAY-001</t>
  </si>
  <si>
    <t>The system shall capture electro-optical video during mission operations.</t>
  </si>
  <si>
    <t>TC-PAY-007</t>
  </si>
  <si>
    <t>The payload captures continuous electro-optical video during the defined mission interval.</t>
  </si>
  <si>
    <t>SYS-PAY-002</t>
  </si>
  <si>
    <t>The system shall permit the operator to start and stop mission video recording.</t>
  </si>
  <si>
    <t>TC-PAY-008</t>
  </si>
  <si>
    <t>Start and stop commands control recording and produce the expected video file boundaries.</t>
  </si>
  <si>
    <t>SYS-PAY-003</t>
  </si>
  <si>
    <t>The system shall permit the operator to capture still images during mission operations.</t>
  </si>
  <si>
    <t>TC-PAY-009</t>
  </si>
  <si>
    <t>The operator captures a still image during active mission operation and the image is stored.</t>
  </si>
  <si>
    <t>SYS-PAY-004</t>
  </si>
  <si>
    <t>The system shall associate captured imagery with mission time data.</t>
  </si>
  <si>
    <t>TC-PAY-010</t>
  </si>
  <si>
    <t>Each captured image is associated with a mission timestamp.</t>
  </si>
  <si>
    <t>SYS-PAY-005</t>
  </si>
  <si>
    <t>The system shall associate captured imagery with available vehicle-position data.</t>
  </si>
  <si>
    <t>TC-PAY-011</t>
  </si>
  <si>
    <t>Each captured image is associated with available vehicle-position data.</t>
  </si>
  <si>
    <t>SYS-DAT-001</t>
  </si>
  <si>
    <t>The system shall record mission telemetry during flight.</t>
  </si>
  <si>
    <t>TC-DAT-003</t>
  </si>
  <si>
    <t>Telemetry is recorded continuously for the full flight interval.</t>
  </si>
  <si>
    <t>SYS-DAT-002</t>
  </si>
  <si>
    <t>The system shall record system faults and warnings during mission operations.</t>
  </si>
  <si>
    <t>TC-DAT-004</t>
  </si>
  <si>
    <t>Induced faults and warnings are recorded with identifiers and timestamps.</t>
  </si>
  <si>
    <t>SYS-DAT-003</t>
  </si>
  <si>
    <t>The system shall assign a unique identifier to each mission data set.</t>
  </si>
  <si>
    <t>TC-DAT-005</t>
  </si>
  <si>
    <t>Each generated mission data set has a unique identifier not reused by another data set.</t>
  </si>
  <si>
    <t>SYS-DAT-004</t>
  </si>
  <si>
    <t>The system shall preserve recorded mission data following a normal system shutdown.</t>
  </si>
  <si>
    <t>TC-DAT-006</t>
  </si>
  <si>
    <t>Recorded mission data remains intact and readable after normal shutdown and restart.</t>
  </si>
  <si>
    <t>SYS-DAT-005</t>
  </si>
  <si>
    <t>The system shall permit authorized users to retrieve recorded mission data after mission completion.</t>
  </si>
  <si>
    <t>TC-DAT-007</t>
  </si>
  <si>
    <t>An authenticated user retrieves the selected completed-mission data set.</t>
  </si>
  <si>
    <t>SYS-DAT-006</t>
  </si>
  <si>
    <t>The system shall store mission timestamps using a consistent time reference.</t>
  </si>
  <si>
    <t>Analysis</t>
  </si>
  <si>
    <t>TC-DAT-008</t>
  </si>
  <si>
    <t>Compared logs use the same configured time reference and remain chronologically consistent.</t>
  </si>
  <si>
    <t>SYS-GCS-001</t>
  </si>
  <si>
    <t>The GCS shall provide the operator with command-and-control capability for the air vehicle.</t>
  </si>
  <si>
    <t>TC-GCS-003</t>
  </si>
  <si>
    <t>The operator sends required control commands from the GCS and the vehicle acknowledges or executes them.</t>
  </si>
  <si>
    <t>SYS-GCS-002</t>
  </si>
  <si>
    <t>The GCS shall display vehicle position on a digital map.</t>
  </si>
  <si>
    <t>TC-GCS-004</t>
  </si>
  <si>
    <t>The vehicle position symbol is displayed and updates on the digital map.</t>
  </si>
  <si>
    <t>SYS-GCS-003</t>
  </si>
  <si>
    <t>The GCS shall display vehicle altitude, heading, speed, and flight mode.</t>
  </si>
  <si>
    <t>TC-GCS-005</t>
  </si>
  <si>
    <t>Altitude, heading, speed, and flight mode are simultaneously displayed and update during operation.</t>
  </si>
  <si>
    <t>SYS-GCS-004</t>
  </si>
  <si>
    <t>The GCS shall display battery status and available system-health information.</t>
  </si>
  <si>
    <t>TC-GCS-006</t>
  </si>
  <si>
    <t>Battery and configured system-health indicators are visible and update during operation.</t>
  </si>
  <si>
    <t>SYS-GCS-005</t>
  </si>
  <si>
    <t>The GCS shall display live mission video received from the air vehicle.</t>
  </si>
  <si>
    <t>GCS/Payload</t>
  </si>
  <si>
    <t>TC-GCS-007</t>
  </si>
  <si>
    <t>Live mission video is displayed at the GCS under nominal link conditions.</t>
  </si>
  <si>
    <t>SYS-GCS-006</t>
  </si>
  <si>
    <t>The GCS shall provide an operator-accessible means of initiating Return-to-Launch.</t>
  </si>
  <si>
    <t>TC-GCS-008</t>
  </si>
  <si>
    <t>The operator can access and activate the RTL control from the normal mission display.</t>
  </si>
  <si>
    <t>SYS-PWR-001</t>
  </si>
  <si>
    <t>The system shall provide electrical power to all required onboard subsystems during mission operations.</t>
  </si>
  <si>
    <t>TC-PWR-001</t>
  </si>
  <si>
    <t>All required onboard subsystems remain powered throughout the defined mission-load test.</t>
  </si>
  <si>
    <t>SYS-PWR-002</t>
  </si>
  <si>
    <t>The system shall monitor air-vehicle battery voltage during operation.</t>
  </si>
  <si>
    <t>TC-PWR-002</t>
  </si>
  <si>
    <t>Displayed or logged battery voltage tracks the reference measurement within the defined tolerance.</t>
  </si>
  <si>
    <t>SYS-PWR-003</t>
  </si>
  <si>
    <t>The system shall estimate remaining air-vehicle battery capacity.</t>
  </si>
  <si>
    <t>TC-PWR-003</t>
  </si>
  <si>
    <t>Remaining-capacity estimate is available and decreases consistently during discharge.</t>
  </si>
  <si>
    <t>SYS-PWR-004</t>
  </si>
  <si>
    <t>The system shall notify the operator when battery capacity reaches the low-battery threshold.</t>
  </si>
  <si>
    <t>Power/HMI</t>
  </si>
  <si>
    <t>TC-PWR-004</t>
  </si>
  <si>
    <t>A low-battery alert is displayed when the configured threshold is crossed.</t>
  </si>
  <si>
    <t>SYS-PWR-005</t>
  </si>
  <si>
    <t>The system shall initiate the configured contingency response when battery capacity reaches the critical-battery threshold.</t>
  </si>
  <si>
    <t>Power/Safety</t>
  </si>
  <si>
    <t>TC-PWR-005</t>
  </si>
  <si>
    <t>Crossing the critical-battery threshold initiates the configured contingency response.</t>
  </si>
  <si>
    <t>SYS-PWR-006</t>
  </si>
  <si>
    <t>The system shall prevent reverse-polarity connection at externally accessible power interfaces through connector design or protective circuitry.</t>
  </si>
  <si>
    <t>Power Safety</t>
  </si>
  <si>
    <t>Component</t>
  </si>
  <si>
    <t>TC-PWR-006</t>
  </si>
  <si>
    <t>Connector keying or protective circuitry prevents damaging current flow under reversed-polarity test conditions.</t>
  </si>
  <si>
    <t>SYS-HMI-001</t>
  </si>
  <si>
    <t>The system shall present critical warnings in a visually distinguishable format.</t>
  </si>
  <si>
    <t>TC-HMI-002</t>
  </si>
  <si>
    <t>Critical warnings are visually distinct from normal status and advisory information.</t>
  </si>
  <si>
    <t>SYS-HMI-002</t>
  </si>
  <si>
    <t>The system shall identify the current vehicle flight mode to the operator.</t>
  </si>
  <si>
    <t>TC-HMI-003</t>
  </si>
  <si>
    <t>The displayed flight mode matches the active vehicle mode during each test transition.</t>
  </si>
  <si>
    <t>SYS-HMI-003</t>
  </si>
  <si>
    <t>The system shall display the status of the command-and-control link.</t>
  </si>
  <si>
    <t>TC-HMI-004</t>
  </si>
  <si>
    <t>The command-and-control link status changes correctly for connected, degraded, and lost conditions.</t>
  </si>
  <si>
    <t>SYS-HMI-004</t>
  </si>
  <si>
    <t>The system shall display the status of the telemetry link.</t>
  </si>
  <si>
    <t>TC-HMI-005</t>
  </si>
  <si>
    <t>The telemetry-link status changes correctly for connected, degraded, and lost conditions.</t>
  </si>
  <si>
    <t>SYS-HMI-005</t>
  </si>
  <si>
    <t>The system shall display the status of the live-video link.</t>
  </si>
  <si>
    <t>TC-HMI-006</t>
  </si>
  <si>
    <t>The live-video link status changes correctly for connected, degraded, and lost conditions.</t>
  </si>
  <si>
    <t>SYS-HMI-006</t>
  </si>
  <si>
    <t>The system shall require operator confirmation before executing a mission-termination command.</t>
  </si>
  <si>
    <t>TC-HMI-007</t>
  </si>
  <si>
    <t>A mission-termination command is not executed until the operator completes the confirmation action.</t>
  </si>
  <si>
    <t>SYS-REL-005</t>
  </si>
  <si>
    <t>The system shall perform startup checks of mission-critical subsystems.</t>
  </si>
  <si>
    <t>TC-REL-006</t>
  </si>
  <si>
    <t>Startup checks run for all designated mission-critical subsystems and produce a readiness result.</t>
  </si>
  <si>
    <t>SYS-REL-006</t>
  </si>
  <si>
    <t>The system shall identify detected mission-critical subsystem faults.</t>
  </si>
  <si>
    <t>TC-REL-007</t>
  </si>
  <si>
    <t>Each induced mission-critical fault is identified by the system.</t>
  </si>
  <si>
    <t>SYS-REL-007</t>
  </si>
  <si>
    <t>The system shall communicate detected mission-critical faults to the operator.</t>
  </si>
  <si>
    <t>Fault Management/HMI</t>
  </si>
  <si>
    <t>TC-REL-008</t>
  </si>
  <si>
    <t>Each identified mission-critical fault produces an operator-visible notification.</t>
  </si>
  <si>
    <t>SYS-REL-008</t>
  </si>
  <si>
    <t>The system shall retain fault-log data following an unexpected system restart when technically feasible.</t>
  </si>
  <si>
    <t>Fault Management/Data</t>
  </si>
  <si>
    <t>TC-REL-009</t>
  </si>
  <si>
    <t>Fault-log entries created before the unexpected restart remain readable after recovery.</t>
  </si>
  <si>
    <t>SYS-REL-009</t>
  </si>
  <si>
    <t>The system shall transition to a predefined safe response following loss of operator control input.</t>
  </si>
  <si>
    <t>Fault Management/Safety</t>
  </si>
  <si>
    <t>TC-REL-010</t>
  </si>
  <si>
    <t>Loss of operator control input causes the configured safe response after the defined timeout.</t>
  </si>
  <si>
    <t>SYS-REL-010</t>
  </si>
  <si>
    <t>The failure of the mission payload shall not prevent the operator from commanding safe recovery of the air vehicle.</t>
  </si>
  <si>
    <t>TC-REL-011</t>
  </si>
  <si>
    <t>With the payload unavailable, the operator successfully commands and completes safe vehicle recovery.</t>
  </si>
  <si>
    <t>SYS-MNT-001</t>
  </si>
  <si>
    <t>The system shall permit replacement of the air-vehicle battery without permanent disassembly.</t>
  </si>
  <si>
    <t>Maintainability</t>
  </si>
  <si>
    <t>TC-MNT-002</t>
  </si>
  <si>
    <t>The battery is removed and replaced using the normal access method without permanent disassembly.</t>
  </si>
  <si>
    <t>SYS-MNT-002</t>
  </si>
  <si>
    <t>The system shall permit access to removable data-storage devices without removal of the flight-control computer.</t>
  </si>
  <si>
    <t>TC-MNT-003</t>
  </si>
  <si>
    <t>The removable data-storage device is accessed and replaced without removing the flight-control computer.</t>
  </si>
  <si>
    <t>SYS-MNT-003</t>
  </si>
  <si>
    <t>The system shall permit replacement of field-replaceable propellers using commonly available hand tools.</t>
  </si>
  <si>
    <t>TC-MNT-004</t>
  </si>
  <si>
    <t>A propeller is replaced using commonly available hand tools without damage.</t>
  </si>
  <si>
    <t>SYS-MNT-004</t>
  </si>
  <si>
    <t>The system shall provide externally visible identification for major electrical interfaces.</t>
  </si>
  <si>
    <t>TC-MNT-005</t>
  </si>
  <si>
    <t>All designated major external electrical interfaces have legible identification.</t>
  </si>
  <si>
    <t>SYS-MNT-005</t>
  </si>
  <si>
    <t>The system shall permit software updates to the flight-control system without replacement of hardware.</t>
  </si>
  <si>
    <t>Maintainability/Software</t>
  </si>
  <si>
    <t>TC-MNT-006</t>
  </si>
  <si>
    <t>The flight-control software is updated and the system passes post-update functional checks without hardware replacement.</t>
  </si>
  <si>
    <t>SYS-MNT-006</t>
  </si>
  <si>
    <t>The system shall permit inspection of major structural and electrical connections during scheduled maintenance.</t>
  </si>
  <si>
    <t>TC-MNT-007</t>
  </si>
  <si>
    <t>All designated major structural and electrical connections are accessible for visual inspection.</t>
  </si>
  <si>
    <t>SYS-CYB-001</t>
  </si>
  <si>
    <t>The system shall restrict administrative configuration functions to authorized users.</t>
  </si>
  <si>
    <t>TC-CYB-001</t>
  </si>
  <si>
    <t>Unauthorized users cannot access administrative configuration functions.</t>
  </si>
  <si>
    <t>SYS-CYB-002</t>
  </si>
  <si>
    <t>The system shall require authentication before access to protected GCS functions.</t>
  </si>
  <si>
    <t>TC-CYB-002</t>
  </si>
  <si>
    <t>Protected GCS functions remain inaccessible until valid authentication is completed.</t>
  </si>
  <si>
    <t>SYS-CYB-003</t>
  </si>
  <si>
    <t>The system shall protect stored mission data from unauthorized modification using available operating-system or application controls.</t>
  </si>
  <si>
    <t>TC-CYB-003</t>
  </si>
  <si>
    <t>An unauthorized account cannot modify protected stored mission data.</t>
  </si>
  <si>
    <t>SYS-CYB-004</t>
  </si>
  <si>
    <t>The system shall support encrypted command-and-control communications when supported by the selected communication hardware.</t>
  </si>
  <si>
    <t>TC-CYB-004</t>
  </si>
  <si>
    <t>When enabled and supported, command-and-control traffic is encrypted and remains functional.</t>
  </si>
  <si>
    <t>SYS-CYB-005</t>
  </si>
  <si>
    <t>The system shall support encrypted transmission of mission data when supported by the selected communication architecture.</t>
  </si>
  <si>
    <t>TC-CYB-005</t>
  </si>
  <si>
    <t>When enabled and supported, transmitted mission data is encrypted and successfully received.</t>
  </si>
  <si>
    <t>SYS-CYB-006</t>
  </si>
  <si>
    <t>The system shall record security-relevant access or configuration events when supported by the selected software.</t>
  </si>
  <si>
    <t>TC-CYB-006</t>
  </si>
  <si>
    <t>Configured access and configuration events are recorded with event type and timestamp.</t>
  </si>
  <si>
    <t>Procedure Name</t>
  </si>
  <si>
    <t>Purpose</t>
  </si>
  <si>
    <t>Primary Outputs</t>
  </si>
  <si>
    <t>Inspection and Maintainability Verification</t>
  </si>
  <si>
    <t>Verify physical configuration, accessibility, labeling, portability, and maintainability features.</t>
  </si>
  <si>
    <t>Inspection record, photographs, discrepancy log</t>
  </si>
  <si>
    <t>Functional Bench Test</t>
  </si>
  <si>
    <t>Verify software, data, logging, health monitoring, startup, and core bench-level functions.</t>
  </si>
  <si>
    <t>Bench test record, logs, screenshots</t>
  </si>
  <si>
    <t>Ground Integration Test</t>
  </si>
  <si>
    <t>Verify mission planning, operator workflow, deployment, and air-vehicle/GCS integration on the ground.</t>
  </si>
  <si>
    <t>Integration record, configuration file, screenshots</t>
  </si>
  <si>
    <t>Communications Test</t>
  </si>
  <si>
    <t>Verify command, telemetry, video, range, link status, interruption detection, and reconnection.</t>
  </si>
  <si>
    <t>Link logs, packet captures, range data</t>
  </si>
  <si>
    <t>Payload Verification</t>
  </si>
  <si>
    <t>Verify video, imagery, zoom, recording, camera control, and metadata association.</t>
  </si>
  <si>
    <t>Media files, screenshots, payload logs</t>
  </si>
  <si>
    <t>Navigation Verification</t>
  </si>
  <si>
    <t>Verify position, altitude, heading, waypoint navigation, degraded-GNSS behavior, and geotagging.</t>
  </si>
  <si>
    <t>Navigation logs, map traces, position comparison</t>
  </si>
  <si>
    <t>Environmental Verification</t>
  </si>
  <si>
    <t>Verify outdoor, sunlight, moisture, vibration, and temperature-related requirements.</t>
  </si>
  <si>
    <t>Environmental test record, pre/post functional checks</t>
  </si>
  <si>
    <t>Safety and Fault-Response Verification</t>
  </si>
  <si>
    <t>Verify arming interlocks, alerts, emergency responses, safe-state transitions, and fault tolerance.</t>
  </si>
  <si>
    <t>Safety test record, fault logs, video evidence</t>
  </si>
  <si>
    <t>Flight Test Procedure</t>
  </si>
  <si>
    <t>Verify flight performance, endurance, manual control, mission behaviors, RTL, and recovery.</t>
  </si>
  <si>
    <t>Flight cards, telemetry logs, post-flight report</t>
  </si>
  <si>
    <t>Cybersecurity Verification</t>
  </si>
  <si>
    <t>Verify authentication, access control, logging, data protection, and supported encryption.</t>
  </si>
  <si>
    <t>Security test record, screenshots, packet captures</t>
  </si>
  <si>
    <t>GCS Functional Verification</t>
  </si>
  <si>
    <t>Verify GCS displays, controls, interfaces, software, peripherals, and operator functions.</t>
  </si>
  <si>
    <t>GCS test record, screenshots, photographs</t>
  </si>
  <si>
    <t>Power System Verification</t>
  </si>
  <si>
    <t>Verify power delivery, monitoring, thresholds, reverse-polarity protection, and contingency actions.</t>
  </si>
  <si>
    <t>Voltage/current logs, power test record, photographs</t>
  </si>
  <si>
    <t>Event ID</t>
  </si>
  <si>
    <t>Event Name</t>
  </si>
  <si>
    <t>Planned Phase</t>
  </si>
  <si>
    <t>Bench Bring-Up</t>
  </si>
  <si>
    <t>Component and subsystem inspection, power-on, startup, interface, and maintainability verification.</t>
  </si>
  <si>
    <t>Phase 1</t>
  </si>
  <si>
    <t>Ground System Integration</t>
  </si>
  <si>
    <t>End-to-end ground integration of operator workflow, GCS, data, health monitoring, and mission management.</t>
  </si>
  <si>
    <t>Communications Integration</t>
  </si>
  <si>
    <t>Command, telemetry, video, MAVLink, link status, interruption, and reconnection verification.</t>
  </si>
  <si>
    <t>Payload Integration</t>
  </si>
  <si>
    <t>Payload video, imagery, recording, control, metadata, and GCS display verification.</t>
  </si>
  <si>
    <t>Authentication, authorization, logging, data protection, and encryption verification.</t>
  </si>
  <si>
    <t>Environmental Evaluation</t>
  </si>
  <si>
    <t>Sunlight, outdoor, vibration, precipitation, and temperature verification.</t>
  </si>
  <si>
    <t>Phase 2</t>
  </si>
  <si>
    <t>Flight Test Phase I</t>
  </si>
  <si>
    <t>Manual flight, autonomous missions, performance, safety, recovery, navigation, and endurance verification.</t>
  </si>
  <si>
    <t>Metric</t>
  </si>
  <si>
    <t>Value</t>
  </si>
  <si>
    <t>Total Requirements</t>
  </si>
  <si>
    <t>In Progress</t>
  </si>
  <si>
    <t>Verified</t>
  </si>
  <si>
    <t>Failed</t>
  </si>
  <si>
    <t>Method</t>
  </si>
  <si>
    <t>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</si>
</sst>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15">
    <dxf>
      <fill>
        <patternFill patternType="solid">
          <bgColor rgb="FFFFEB9C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EB9C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EB9C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EB9C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EB9C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quirementsMasterTable" displayName="RequirementsMasterTable" ref="A1:R124">
  <tableColumns count="18">
    <tableColumn id="1" xr3:uid="{00000000-0010-0000-0000-000001000000}" name="Requirement ID"/>
    <tableColumn id="2" xr3:uid="{00000000-0010-0000-0000-000002000000}" name="Requirement Statement"/>
    <tableColumn id="3" xr3:uid="{00000000-0010-0000-0000-000003000000}" name="Category"/>
    <tableColumn id="4" xr3:uid="{00000000-0010-0000-0000-000004000000}" name="Subsystem / Configuration"/>
    <tableColumn id="5" xr3:uid="{00000000-0010-0000-0000-000005000000}" name="Assigned Matrix"/>
    <tableColumn id="6" xr3:uid="{00000000-0010-0000-0000-000006000000}" name="Verification Method"/>
    <tableColumn id="7" xr3:uid="{00000000-0010-0000-0000-000007000000}" name="Verification Level"/>
    <tableColumn id="8" xr3:uid="{00000000-0010-0000-0000-000008000000}" name="Procedure ID"/>
    <tableColumn id="9" xr3:uid="{00000000-0010-0000-0000-000009000000}" name="Test Case ID"/>
    <tableColumn id="10" xr3:uid="{00000000-0010-0000-0000-00000A000000}" name="Verification Event"/>
    <tableColumn id="11" xr3:uid="{00000000-0010-0000-0000-00000B000000}" name="Acceptance Criteria"/>
    <tableColumn id="12" xr3:uid="{00000000-0010-0000-0000-00000C000000}" name="Status"/>
    <tableColumn id="13" xr3:uid="{00000000-0010-0000-0000-00000D000000}" name="Result"/>
    <tableColumn id="14" xr3:uid="{00000000-0010-0000-0000-00000E000000}" name="Report ID"/>
    <tableColumn id="15" xr3:uid="{00000000-0010-0000-0000-00000F000000}" name="Evidence ID"/>
    <tableColumn id="16" xr3:uid="{00000000-0010-0000-0000-000010000000}" name="Anomaly ID"/>
    <tableColumn id="17" xr3:uid="{00000000-0010-0000-0000-000011000000}" name="Verified By"/>
    <tableColumn id="18" xr3:uid="{00000000-0010-0000-0000-000012000000}" name="Verification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GCSVerificationTable" displayName="GCSVerificationTable" ref="A1:R28">
  <tableColumns count="18">
    <tableColumn id="1" xr3:uid="{00000000-0010-0000-0100-000001000000}" name="Requirement ID"/>
    <tableColumn id="2" xr3:uid="{00000000-0010-0000-0100-000002000000}" name="Requirement Statement"/>
    <tableColumn id="3" xr3:uid="{00000000-0010-0000-0100-000003000000}" name="Category"/>
    <tableColumn id="4" xr3:uid="{00000000-0010-0000-0100-000004000000}" name="Subsystem / Configuration"/>
    <tableColumn id="5" xr3:uid="{00000000-0010-0000-0100-000005000000}" name="Assigned Matrix"/>
    <tableColumn id="6" xr3:uid="{00000000-0010-0000-0100-000006000000}" name="Verification Method"/>
    <tableColumn id="7" xr3:uid="{00000000-0010-0000-0100-000007000000}" name="Verification Level"/>
    <tableColumn id="8" xr3:uid="{00000000-0010-0000-0100-000008000000}" name="Procedure ID"/>
    <tableColumn id="9" xr3:uid="{00000000-0010-0000-0100-000009000000}" name="Test Case ID"/>
    <tableColumn id="10" xr3:uid="{00000000-0010-0000-0100-00000A000000}" name="Verification Event"/>
    <tableColumn id="11" xr3:uid="{00000000-0010-0000-0100-00000B000000}" name="Acceptance Criteria"/>
    <tableColumn id="12" xr3:uid="{00000000-0010-0000-0100-00000C000000}" name="Status"/>
    <tableColumn id="13" xr3:uid="{00000000-0010-0000-0100-00000D000000}" name="Result"/>
    <tableColumn id="14" xr3:uid="{00000000-0010-0000-0100-00000E000000}" name="Report ID"/>
    <tableColumn id="15" xr3:uid="{00000000-0010-0000-0100-00000F000000}" name="Evidence ID"/>
    <tableColumn id="16" xr3:uid="{00000000-0010-0000-0100-000010000000}" name="Anomaly ID"/>
    <tableColumn id="17" xr3:uid="{00000000-0010-0000-0100-000011000000}" name="Verified By"/>
    <tableColumn id="18" xr3:uid="{00000000-0010-0000-0100-000012000000}" name="Verification Da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UAVVerificationTable" displayName="UAVVerificationTable" ref="A1:R18">
  <tableColumns count="18">
    <tableColumn id="1" xr3:uid="{00000000-0010-0000-0200-000001000000}" name="Requirement ID"/>
    <tableColumn id="2" xr3:uid="{00000000-0010-0000-0200-000002000000}" name="Requirement Statement"/>
    <tableColumn id="3" xr3:uid="{00000000-0010-0000-0200-000003000000}" name="Category"/>
    <tableColumn id="4" xr3:uid="{00000000-0010-0000-0200-000004000000}" name="Subsystem / Configuration"/>
    <tableColumn id="5" xr3:uid="{00000000-0010-0000-0200-000005000000}" name="Assigned Matrix"/>
    <tableColumn id="6" xr3:uid="{00000000-0010-0000-0200-000006000000}" name="Verification Method"/>
    <tableColumn id="7" xr3:uid="{00000000-0010-0000-0200-000007000000}" name="Verification Level"/>
    <tableColumn id="8" xr3:uid="{00000000-0010-0000-0200-000008000000}" name="Procedure ID"/>
    <tableColumn id="9" xr3:uid="{00000000-0010-0000-0200-000009000000}" name="Test Case ID"/>
    <tableColumn id="10" xr3:uid="{00000000-0010-0000-0200-00000A000000}" name="Verification Event"/>
    <tableColumn id="11" xr3:uid="{00000000-0010-0000-0200-00000B000000}" name="Acceptance Criteria"/>
    <tableColumn id="12" xr3:uid="{00000000-0010-0000-0200-00000C000000}" name="Status"/>
    <tableColumn id="13" xr3:uid="{00000000-0010-0000-0200-00000D000000}" name="Result"/>
    <tableColumn id="14" xr3:uid="{00000000-0010-0000-0200-00000E000000}" name="Report ID"/>
    <tableColumn id="15" xr3:uid="{00000000-0010-0000-0200-00000F000000}" name="Evidence ID"/>
    <tableColumn id="16" xr3:uid="{00000000-0010-0000-0200-000010000000}" name="Anomaly ID"/>
    <tableColumn id="17" xr3:uid="{00000000-0010-0000-0200-000011000000}" name="Verified By"/>
    <tableColumn id="18" xr3:uid="{00000000-0010-0000-0200-000012000000}" name="Verification Da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SystemIntegrationTable" displayName="SystemIntegrationTable" ref="A1:R57">
  <tableColumns count="18">
    <tableColumn id="1" xr3:uid="{00000000-0010-0000-0300-000001000000}" name="Requirement ID"/>
    <tableColumn id="2" xr3:uid="{00000000-0010-0000-0300-000002000000}" name="Requirement Statement"/>
    <tableColumn id="3" xr3:uid="{00000000-0010-0000-0300-000003000000}" name="Category"/>
    <tableColumn id="4" xr3:uid="{00000000-0010-0000-0300-000004000000}" name="Subsystem / Configuration"/>
    <tableColumn id="5" xr3:uid="{00000000-0010-0000-0300-000005000000}" name="Assigned Matrix"/>
    <tableColumn id="6" xr3:uid="{00000000-0010-0000-0300-000006000000}" name="Verification Method"/>
    <tableColumn id="7" xr3:uid="{00000000-0010-0000-0300-000007000000}" name="Verification Level"/>
    <tableColumn id="8" xr3:uid="{00000000-0010-0000-0300-000008000000}" name="Procedure ID"/>
    <tableColumn id="9" xr3:uid="{00000000-0010-0000-0300-000009000000}" name="Test Case ID"/>
    <tableColumn id="10" xr3:uid="{00000000-0010-0000-0300-00000A000000}" name="Verification Event"/>
    <tableColumn id="11" xr3:uid="{00000000-0010-0000-0300-00000B000000}" name="Acceptance Criteria"/>
    <tableColumn id="12" xr3:uid="{00000000-0010-0000-0300-00000C000000}" name="Status"/>
    <tableColumn id="13" xr3:uid="{00000000-0010-0000-0300-00000D000000}" name="Result"/>
    <tableColumn id="14" xr3:uid="{00000000-0010-0000-0300-00000E000000}" name="Report ID"/>
    <tableColumn id="15" xr3:uid="{00000000-0010-0000-0300-00000F000000}" name="Evidence ID"/>
    <tableColumn id="16" xr3:uid="{00000000-0010-0000-0300-000010000000}" name="Anomaly ID"/>
    <tableColumn id="17" xr3:uid="{00000000-0010-0000-0300-000011000000}" name="Verified By"/>
    <tableColumn id="18" xr3:uid="{00000000-0010-0000-0300-000012000000}" name="Verification Dat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FlightTestTable" displayName="FlightTestTable" ref="A1:R24">
  <tableColumns count="18">
    <tableColumn id="1" xr3:uid="{00000000-0010-0000-0400-000001000000}" name="Requirement ID"/>
    <tableColumn id="2" xr3:uid="{00000000-0010-0000-0400-000002000000}" name="Requirement Statement"/>
    <tableColumn id="3" xr3:uid="{00000000-0010-0000-0400-000003000000}" name="Category"/>
    <tableColumn id="4" xr3:uid="{00000000-0010-0000-0400-000004000000}" name="Subsystem / Configuration"/>
    <tableColumn id="5" xr3:uid="{00000000-0010-0000-0400-000005000000}" name="Assigned Matrix"/>
    <tableColumn id="6" xr3:uid="{00000000-0010-0000-0400-000006000000}" name="Verification Method"/>
    <tableColumn id="7" xr3:uid="{00000000-0010-0000-0400-000007000000}" name="Verification Level"/>
    <tableColumn id="8" xr3:uid="{00000000-0010-0000-0400-000008000000}" name="Procedure ID"/>
    <tableColumn id="9" xr3:uid="{00000000-0010-0000-0400-000009000000}" name="Test Case ID"/>
    <tableColumn id="10" xr3:uid="{00000000-0010-0000-0400-00000A000000}" name="Verification Event"/>
    <tableColumn id="11" xr3:uid="{00000000-0010-0000-0400-00000B000000}" name="Acceptance Criteria"/>
    <tableColumn id="12" xr3:uid="{00000000-0010-0000-0400-00000C000000}" name="Status"/>
    <tableColumn id="13" xr3:uid="{00000000-0010-0000-0400-00000D000000}" name="Result"/>
    <tableColumn id="14" xr3:uid="{00000000-0010-0000-0400-00000E000000}" name="Report ID"/>
    <tableColumn id="15" xr3:uid="{00000000-0010-0000-0400-00000F000000}" name="Evidence ID"/>
    <tableColumn id="16" xr3:uid="{00000000-0010-0000-0400-000010000000}" name="Anomaly ID"/>
    <tableColumn id="17" xr3:uid="{00000000-0010-0000-0400-000011000000}" name="Verified By"/>
    <tableColumn id="18" xr3:uid="{00000000-0010-0000-0400-000012000000}" name="Verification Dat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ProceduresTable" displayName="ProceduresTable" ref="A1:D13">
  <tableColumns count="4">
    <tableColumn id="1" xr3:uid="{00000000-0010-0000-0500-000001000000}" name="Procedure ID"/>
    <tableColumn id="2" xr3:uid="{00000000-0010-0000-0500-000002000000}" name="Procedure Name"/>
    <tableColumn id="3" xr3:uid="{00000000-0010-0000-0500-000003000000}" name="Purpose"/>
    <tableColumn id="4" xr3:uid="{00000000-0010-0000-0500-000004000000}" name="Primary Output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EventsTable" displayName="EventsTable" ref="A1:D8">
  <tableColumns count="4">
    <tableColumn id="1" xr3:uid="{00000000-0010-0000-0600-000001000000}" name="Event ID"/>
    <tableColumn id="2" xr3:uid="{00000000-0010-0000-0600-000002000000}" name="Event Name"/>
    <tableColumn id="3" xr3:uid="{00000000-0010-0000-0600-000003000000}" name="Purpose"/>
    <tableColumn id="4" xr3:uid="{00000000-0010-0000-0600-000004000000}" name="Planned Pha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4"/>
  <sheetViews>
    <sheetView topLeftCell="A111" zoomScaleNormal="100" zoomScaleSheetLayoutView="100" workbookViewId="0"/>
  </sheetViews>
  <sheetFormatPr defaultRowHeight="15"/>
  <cols>
    <col min="1" max="1" width="16" customWidth="1"/>
    <col min="2" max="2" width="52" customWidth="1"/>
    <col min="3" max="5" width="20" customWidth="1"/>
    <col min="6" max="10" width="18" customWidth="1"/>
    <col min="11" max="11" width="48" customWidth="1"/>
    <col min="12" max="18" width="16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/>
      <c r="N2" s="2"/>
      <c r="O2" s="2"/>
      <c r="P2" s="2"/>
      <c r="Q2" s="2"/>
      <c r="R2" s="2"/>
    </row>
    <row r="3" spans="1:18">
      <c r="A3" s="2" t="s">
        <v>30</v>
      </c>
      <c r="B3" s="2" t="s">
        <v>31</v>
      </c>
      <c r="C3" s="2" t="s">
        <v>20</v>
      </c>
      <c r="D3" s="2" t="s">
        <v>32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33</v>
      </c>
      <c r="J3" s="2" t="s">
        <v>34</v>
      </c>
      <c r="K3" s="2" t="s">
        <v>35</v>
      </c>
      <c r="L3" s="2" t="s">
        <v>29</v>
      </c>
      <c r="M3" s="2"/>
      <c r="N3" s="2"/>
      <c r="O3" s="2"/>
      <c r="P3" s="2"/>
      <c r="Q3" s="2"/>
      <c r="R3" s="2"/>
    </row>
    <row r="4" spans="1:18">
      <c r="A4" s="2" t="s">
        <v>36</v>
      </c>
      <c r="B4" s="2" t="s">
        <v>37</v>
      </c>
      <c r="C4" s="2" t="s">
        <v>20</v>
      </c>
      <c r="D4" s="2" t="s">
        <v>38</v>
      </c>
      <c r="E4" s="2" t="s">
        <v>22</v>
      </c>
      <c r="F4" s="2" t="s">
        <v>39</v>
      </c>
      <c r="G4" s="2" t="s">
        <v>24</v>
      </c>
      <c r="H4" s="2" t="s">
        <v>40</v>
      </c>
      <c r="I4" s="2" t="s">
        <v>41</v>
      </c>
      <c r="J4" s="2" t="s">
        <v>42</v>
      </c>
      <c r="K4" s="2" t="s">
        <v>43</v>
      </c>
      <c r="L4" s="2" t="s">
        <v>29</v>
      </c>
      <c r="M4" s="2"/>
      <c r="N4" s="2"/>
      <c r="O4" s="2"/>
      <c r="P4" s="2"/>
      <c r="Q4" s="2"/>
      <c r="R4" s="2"/>
    </row>
    <row r="5" spans="1:18">
      <c r="A5" s="2" t="s">
        <v>44</v>
      </c>
      <c r="B5" s="2" t="s">
        <v>45</v>
      </c>
      <c r="C5" s="2" t="s">
        <v>20</v>
      </c>
      <c r="D5" s="2" t="s">
        <v>46</v>
      </c>
      <c r="E5" s="2" t="s">
        <v>47</v>
      </c>
      <c r="F5" s="2" t="s">
        <v>23</v>
      </c>
      <c r="G5" s="2" t="s">
        <v>48</v>
      </c>
      <c r="H5" s="2" t="s">
        <v>49</v>
      </c>
      <c r="I5" s="2" t="s">
        <v>50</v>
      </c>
      <c r="J5" s="2" t="s">
        <v>27</v>
      </c>
      <c r="K5" s="2" t="s">
        <v>51</v>
      </c>
      <c r="L5" s="2" t="s">
        <v>29</v>
      </c>
      <c r="M5" s="2"/>
      <c r="N5" s="2"/>
      <c r="O5" s="2"/>
      <c r="P5" s="2"/>
      <c r="Q5" s="2"/>
      <c r="R5" s="2"/>
    </row>
    <row r="6" spans="1:18">
      <c r="A6" s="2" t="s">
        <v>52</v>
      </c>
      <c r="B6" s="2" t="s">
        <v>53</v>
      </c>
      <c r="C6" s="2" t="s">
        <v>20</v>
      </c>
      <c r="D6" s="2" t="s">
        <v>54</v>
      </c>
      <c r="E6" s="2" t="s">
        <v>47</v>
      </c>
      <c r="F6" s="2" t="s">
        <v>39</v>
      </c>
      <c r="G6" s="2" t="s">
        <v>48</v>
      </c>
      <c r="H6" s="2" t="s">
        <v>55</v>
      </c>
      <c r="I6" s="2" t="s">
        <v>56</v>
      </c>
      <c r="J6" s="2" t="s">
        <v>27</v>
      </c>
      <c r="K6" s="2" t="s">
        <v>57</v>
      </c>
      <c r="L6" s="2" t="s">
        <v>29</v>
      </c>
      <c r="M6" s="2"/>
      <c r="N6" s="2"/>
      <c r="O6" s="2"/>
      <c r="P6" s="2"/>
      <c r="Q6" s="2"/>
      <c r="R6" s="2"/>
    </row>
    <row r="7" spans="1:18">
      <c r="A7" s="2" t="s">
        <v>58</v>
      </c>
      <c r="B7" s="2" t="s">
        <v>59</v>
      </c>
      <c r="C7" s="2" t="s">
        <v>20</v>
      </c>
      <c r="D7" s="2" t="s">
        <v>54</v>
      </c>
      <c r="E7" s="2" t="s">
        <v>47</v>
      </c>
      <c r="F7" s="2" t="s">
        <v>23</v>
      </c>
      <c r="G7" s="2" t="s">
        <v>48</v>
      </c>
      <c r="H7" s="2" t="s">
        <v>55</v>
      </c>
      <c r="I7" s="2" t="s">
        <v>60</v>
      </c>
      <c r="J7" s="2" t="s">
        <v>27</v>
      </c>
      <c r="K7" s="2" t="s">
        <v>61</v>
      </c>
      <c r="L7" s="2" t="s">
        <v>29</v>
      </c>
      <c r="M7" s="2"/>
      <c r="N7" s="2"/>
      <c r="O7" s="2"/>
      <c r="P7" s="2"/>
      <c r="Q7" s="2"/>
      <c r="R7" s="2"/>
    </row>
    <row r="8" spans="1:18">
      <c r="A8" s="2" t="s">
        <v>62</v>
      </c>
      <c r="B8" s="2" t="s">
        <v>63</v>
      </c>
      <c r="C8" s="2" t="s">
        <v>20</v>
      </c>
      <c r="D8" s="2" t="s">
        <v>64</v>
      </c>
      <c r="E8" s="2" t="s">
        <v>22</v>
      </c>
      <c r="F8" s="2" t="s">
        <v>39</v>
      </c>
      <c r="G8" s="2" t="s">
        <v>24</v>
      </c>
      <c r="H8" s="2" t="s">
        <v>65</v>
      </c>
      <c r="I8" s="2" t="s">
        <v>66</v>
      </c>
      <c r="J8" s="2" t="s">
        <v>34</v>
      </c>
      <c r="K8" s="2" t="s">
        <v>67</v>
      </c>
      <c r="L8" s="2" t="s">
        <v>29</v>
      </c>
      <c r="M8" s="2"/>
      <c r="N8" s="2"/>
      <c r="O8" s="2"/>
      <c r="P8" s="2"/>
      <c r="Q8" s="2"/>
      <c r="R8" s="2"/>
    </row>
    <row r="9" spans="1:18">
      <c r="A9" s="2" t="s">
        <v>68</v>
      </c>
      <c r="B9" s="2" t="s">
        <v>69</v>
      </c>
      <c r="C9" s="2" t="s">
        <v>20</v>
      </c>
      <c r="D9" s="2" t="s">
        <v>70</v>
      </c>
      <c r="E9" s="2" t="s">
        <v>71</v>
      </c>
      <c r="F9" s="2" t="s">
        <v>72</v>
      </c>
      <c r="G9" s="2" t="s">
        <v>24</v>
      </c>
      <c r="H9" s="2" t="s">
        <v>73</v>
      </c>
      <c r="I9" s="2" t="s">
        <v>74</v>
      </c>
      <c r="J9" s="2" t="s">
        <v>75</v>
      </c>
      <c r="K9" s="2" t="s">
        <v>76</v>
      </c>
      <c r="L9" s="2" t="s">
        <v>29</v>
      </c>
      <c r="M9" s="2"/>
      <c r="N9" s="2"/>
      <c r="O9" s="2"/>
      <c r="P9" s="2"/>
      <c r="Q9" s="2"/>
      <c r="R9" s="2"/>
    </row>
    <row r="10" spans="1:18">
      <c r="A10" s="2" t="s">
        <v>77</v>
      </c>
      <c r="B10" s="2" t="s">
        <v>78</v>
      </c>
      <c r="C10" s="2" t="s">
        <v>20</v>
      </c>
      <c r="D10" s="2" t="s">
        <v>32</v>
      </c>
      <c r="E10" s="2" t="s">
        <v>22</v>
      </c>
      <c r="F10" s="2" t="s">
        <v>39</v>
      </c>
      <c r="G10" s="2" t="s">
        <v>24</v>
      </c>
      <c r="H10" s="2" t="s">
        <v>25</v>
      </c>
      <c r="I10" s="2" t="s">
        <v>79</v>
      </c>
      <c r="J10" s="2" t="s">
        <v>34</v>
      </c>
      <c r="K10" s="2" t="s">
        <v>80</v>
      </c>
      <c r="L10" s="2" t="s">
        <v>29</v>
      </c>
      <c r="M10" s="2"/>
      <c r="N10" s="2"/>
      <c r="O10" s="2"/>
      <c r="P10" s="2"/>
      <c r="Q10" s="2"/>
      <c r="R10" s="2"/>
    </row>
    <row r="11" spans="1:18">
      <c r="A11" s="2" t="s">
        <v>81</v>
      </c>
      <c r="B11" s="2" t="s">
        <v>82</v>
      </c>
      <c r="C11" s="2" t="s">
        <v>20</v>
      </c>
      <c r="D11" s="2" t="s">
        <v>83</v>
      </c>
      <c r="E11" s="2" t="s">
        <v>22</v>
      </c>
      <c r="F11" s="2" t="s">
        <v>39</v>
      </c>
      <c r="G11" s="2" t="s">
        <v>24</v>
      </c>
      <c r="H11" s="2" t="s">
        <v>84</v>
      </c>
      <c r="I11" s="2" t="s">
        <v>85</v>
      </c>
      <c r="J11" s="2" t="s">
        <v>34</v>
      </c>
      <c r="K11" s="2" t="s">
        <v>86</v>
      </c>
      <c r="L11" s="2" t="s">
        <v>29</v>
      </c>
      <c r="M11" s="2"/>
      <c r="N11" s="2"/>
      <c r="O11" s="2"/>
      <c r="P11" s="2"/>
      <c r="Q11" s="2"/>
      <c r="R11" s="2"/>
    </row>
    <row r="12" spans="1:18">
      <c r="A12" s="2" t="s">
        <v>87</v>
      </c>
      <c r="B12" s="2" t="s">
        <v>88</v>
      </c>
      <c r="C12" s="2" t="s">
        <v>89</v>
      </c>
      <c r="D12" s="2" t="s">
        <v>90</v>
      </c>
      <c r="E12" s="2" t="s">
        <v>22</v>
      </c>
      <c r="F12" s="2" t="s">
        <v>23</v>
      </c>
      <c r="G12" s="2" t="s">
        <v>24</v>
      </c>
      <c r="H12" s="2" t="s">
        <v>25</v>
      </c>
      <c r="I12" s="2" t="s">
        <v>91</v>
      </c>
      <c r="J12" s="2" t="s">
        <v>34</v>
      </c>
      <c r="K12" s="2" t="s">
        <v>92</v>
      </c>
      <c r="L12" s="2" t="s">
        <v>29</v>
      </c>
      <c r="M12" s="2"/>
      <c r="N12" s="2"/>
      <c r="O12" s="2"/>
      <c r="P12" s="2"/>
      <c r="Q12" s="2"/>
      <c r="R12" s="2"/>
    </row>
    <row r="13" spans="1:18">
      <c r="A13" s="2" t="s">
        <v>93</v>
      </c>
      <c r="B13" s="2" t="s">
        <v>94</v>
      </c>
      <c r="C13" s="2" t="s">
        <v>89</v>
      </c>
      <c r="D13" s="2" t="s">
        <v>95</v>
      </c>
      <c r="E13" s="2" t="s">
        <v>22</v>
      </c>
      <c r="F13" s="2" t="s">
        <v>23</v>
      </c>
      <c r="G13" s="2" t="s">
        <v>24</v>
      </c>
      <c r="H13" s="2" t="s">
        <v>84</v>
      </c>
      <c r="I13" s="2" t="s">
        <v>96</v>
      </c>
      <c r="J13" s="2" t="s">
        <v>34</v>
      </c>
      <c r="K13" s="2" t="s">
        <v>97</v>
      </c>
      <c r="L13" s="2" t="s">
        <v>29</v>
      </c>
      <c r="M13" s="2"/>
      <c r="N13" s="2"/>
      <c r="O13" s="2"/>
      <c r="P13" s="2"/>
      <c r="Q13" s="2"/>
      <c r="R13" s="2"/>
    </row>
    <row r="14" spans="1:18">
      <c r="A14" s="2" t="s">
        <v>98</v>
      </c>
      <c r="B14" s="2" t="s">
        <v>99</v>
      </c>
      <c r="C14" s="2" t="s">
        <v>89</v>
      </c>
      <c r="D14" s="2" t="s">
        <v>54</v>
      </c>
      <c r="E14" s="2" t="s">
        <v>47</v>
      </c>
      <c r="F14" s="2" t="s">
        <v>39</v>
      </c>
      <c r="G14" s="2" t="s">
        <v>48</v>
      </c>
      <c r="H14" s="2" t="s">
        <v>55</v>
      </c>
      <c r="I14" s="2" t="s">
        <v>100</v>
      </c>
      <c r="J14" s="2" t="s">
        <v>27</v>
      </c>
      <c r="K14" s="2" t="s">
        <v>101</v>
      </c>
      <c r="L14" s="2" t="s">
        <v>29</v>
      </c>
      <c r="M14" s="2"/>
      <c r="N14" s="2"/>
      <c r="O14" s="2"/>
      <c r="P14" s="2"/>
      <c r="Q14" s="2"/>
      <c r="R14" s="2"/>
    </row>
    <row r="15" spans="1:18">
      <c r="A15" s="2" t="s">
        <v>102</v>
      </c>
      <c r="B15" s="2" t="s">
        <v>103</v>
      </c>
      <c r="C15" s="2" t="s">
        <v>89</v>
      </c>
      <c r="D15" s="2" t="s">
        <v>104</v>
      </c>
      <c r="E15" s="2" t="s">
        <v>47</v>
      </c>
      <c r="F15" s="2" t="s">
        <v>39</v>
      </c>
      <c r="G15" s="2" t="s">
        <v>48</v>
      </c>
      <c r="H15" s="2" t="s">
        <v>49</v>
      </c>
      <c r="I15" s="2" t="s">
        <v>105</v>
      </c>
      <c r="J15" s="2" t="s">
        <v>27</v>
      </c>
      <c r="K15" s="2" t="s">
        <v>106</v>
      </c>
      <c r="L15" s="2" t="s">
        <v>29</v>
      </c>
      <c r="M15" s="2"/>
      <c r="N15" s="2"/>
      <c r="O15" s="2"/>
      <c r="P15" s="2"/>
      <c r="Q15" s="2"/>
      <c r="R15" s="2"/>
    </row>
    <row r="16" spans="1:18">
      <c r="A16" s="2" t="s">
        <v>107</v>
      </c>
      <c r="B16" s="2" t="s">
        <v>108</v>
      </c>
      <c r="C16" s="2" t="s">
        <v>89</v>
      </c>
      <c r="D16" s="2" t="s">
        <v>109</v>
      </c>
      <c r="E16" s="2" t="s">
        <v>22</v>
      </c>
      <c r="F16" s="2" t="s">
        <v>39</v>
      </c>
      <c r="G16" s="2" t="s">
        <v>24</v>
      </c>
      <c r="H16" s="2" t="s">
        <v>65</v>
      </c>
      <c r="I16" s="2" t="s">
        <v>110</v>
      </c>
      <c r="J16" s="2" t="s">
        <v>34</v>
      </c>
      <c r="K16" s="2" t="s">
        <v>111</v>
      </c>
      <c r="L16" s="2" t="s">
        <v>29</v>
      </c>
      <c r="M16" s="2"/>
      <c r="N16" s="2"/>
      <c r="O16" s="2"/>
      <c r="P16" s="2"/>
      <c r="Q16" s="2"/>
      <c r="R16" s="2"/>
    </row>
    <row r="17" spans="1:18">
      <c r="A17" s="2" t="s">
        <v>112</v>
      </c>
      <c r="B17" s="2" t="s">
        <v>113</v>
      </c>
      <c r="C17" s="2" t="s">
        <v>89</v>
      </c>
      <c r="D17" s="2" t="s">
        <v>114</v>
      </c>
      <c r="E17" s="2" t="s">
        <v>47</v>
      </c>
      <c r="F17" s="2" t="s">
        <v>23</v>
      </c>
      <c r="G17" s="2" t="s">
        <v>48</v>
      </c>
      <c r="H17" s="2" t="s">
        <v>49</v>
      </c>
      <c r="I17" s="2" t="s">
        <v>115</v>
      </c>
      <c r="J17" s="2" t="s">
        <v>27</v>
      </c>
      <c r="K17" s="2" t="s">
        <v>116</v>
      </c>
      <c r="L17" s="2" t="s">
        <v>29</v>
      </c>
      <c r="M17" s="2"/>
      <c r="N17" s="2"/>
      <c r="O17" s="2"/>
      <c r="P17" s="2"/>
      <c r="Q17" s="2"/>
      <c r="R17" s="2"/>
    </row>
    <row r="18" spans="1:18">
      <c r="A18" s="2" t="s">
        <v>117</v>
      </c>
      <c r="B18" s="2" t="s">
        <v>118</v>
      </c>
      <c r="C18" s="2" t="s">
        <v>89</v>
      </c>
      <c r="D18" s="2" t="s">
        <v>119</v>
      </c>
      <c r="E18" s="2" t="s">
        <v>22</v>
      </c>
      <c r="F18" s="2" t="s">
        <v>39</v>
      </c>
      <c r="G18" s="2" t="s">
        <v>24</v>
      </c>
      <c r="H18" s="2" t="s">
        <v>120</v>
      </c>
      <c r="I18" s="2" t="s">
        <v>121</v>
      </c>
      <c r="J18" s="2" t="s">
        <v>122</v>
      </c>
      <c r="K18" s="2" t="s">
        <v>123</v>
      </c>
      <c r="L18" s="2" t="s">
        <v>29</v>
      </c>
      <c r="M18" s="2"/>
      <c r="N18" s="2"/>
      <c r="O18" s="2"/>
      <c r="P18" s="2"/>
      <c r="Q18" s="2"/>
      <c r="R18" s="2"/>
    </row>
    <row r="19" spans="1:18">
      <c r="A19" s="2" t="s">
        <v>124</v>
      </c>
      <c r="B19" s="2" t="s">
        <v>125</v>
      </c>
      <c r="C19" s="2" t="s">
        <v>89</v>
      </c>
      <c r="D19" s="2" t="s">
        <v>119</v>
      </c>
      <c r="E19" s="2" t="s">
        <v>22</v>
      </c>
      <c r="F19" s="2" t="s">
        <v>39</v>
      </c>
      <c r="G19" s="2" t="s">
        <v>24</v>
      </c>
      <c r="H19" s="2" t="s">
        <v>120</v>
      </c>
      <c r="I19" s="2" t="s">
        <v>126</v>
      </c>
      <c r="J19" s="2" t="s">
        <v>122</v>
      </c>
      <c r="K19" s="2" t="s">
        <v>127</v>
      </c>
      <c r="L19" s="2" t="s">
        <v>29</v>
      </c>
      <c r="M19" s="2"/>
      <c r="N19" s="2"/>
      <c r="O19" s="2"/>
      <c r="P19" s="2"/>
      <c r="Q19" s="2"/>
      <c r="R19" s="2"/>
    </row>
    <row r="20" spans="1:18">
      <c r="A20" s="2" t="s">
        <v>128</v>
      </c>
      <c r="B20" s="2" t="s">
        <v>129</v>
      </c>
      <c r="C20" s="2" t="s">
        <v>89</v>
      </c>
      <c r="D20" s="2" t="s">
        <v>64</v>
      </c>
      <c r="E20" s="2" t="s">
        <v>22</v>
      </c>
      <c r="F20" s="2" t="s">
        <v>39</v>
      </c>
      <c r="G20" s="2" t="s">
        <v>24</v>
      </c>
      <c r="H20" s="2" t="s">
        <v>65</v>
      </c>
      <c r="I20" s="2" t="s">
        <v>130</v>
      </c>
      <c r="J20" s="2" t="s">
        <v>34</v>
      </c>
      <c r="K20" s="2" t="s">
        <v>131</v>
      </c>
      <c r="L20" s="2" t="s">
        <v>29</v>
      </c>
      <c r="M20" s="2"/>
      <c r="N20" s="2"/>
      <c r="O20" s="2"/>
      <c r="P20" s="2"/>
      <c r="Q20" s="2"/>
      <c r="R20" s="2"/>
    </row>
    <row r="21" spans="1:18">
      <c r="A21" s="2" t="s">
        <v>132</v>
      </c>
      <c r="B21" s="2" t="s">
        <v>133</v>
      </c>
      <c r="C21" s="2" t="s">
        <v>89</v>
      </c>
      <c r="D21" s="2" t="s">
        <v>134</v>
      </c>
      <c r="E21" s="2" t="s">
        <v>47</v>
      </c>
      <c r="F21" s="2" t="s">
        <v>23</v>
      </c>
      <c r="G21" s="2" t="s">
        <v>48</v>
      </c>
      <c r="H21" s="2" t="s">
        <v>135</v>
      </c>
      <c r="I21" s="2" t="s">
        <v>136</v>
      </c>
      <c r="J21" s="2" t="s">
        <v>27</v>
      </c>
      <c r="K21" s="2" t="s">
        <v>137</v>
      </c>
      <c r="L21" s="2" t="s">
        <v>29</v>
      </c>
      <c r="M21" s="2"/>
      <c r="N21" s="2"/>
      <c r="O21" s="2"/>
      <c r="P21" s="2"/>
      <c r="Q21" s="2"/>
      <c r="R21" s="2"/>
    </row>
    <row r="22" spans="1:18">
      <c r="A22" s="2" t="s">
        <v>138</v>
      </c>
      <c r="B22" s="2" t="s">
        <v>139</v>
      </c>
      <c r="C22" s="2" t="s">
        <v>140</v>
      </c>
      <c r="D22" s="2" t="s">
        <v>90</v>
      </c>
      <c r="E22" s="2" t="s">
        <v>141</v>
      </c>
      <c r="F22" s="2" t="s">
        <v>39</v>
      </c>
      <c r="G22" s="2" t="s">
        <v>142</v>
      </c>
      <c r="H22" s="2" t="s">
        <v>65</v>
      </c>
      <c r="I22" s="2" t="s">
        <v>143</v>
      </c>
      <c r="J22" s="2" t="s">
        <v>75</v>
      </c>
      <c r="K22" s="2" t="s">
        <v>144</v>
      </c>
      <c r="L22" s="2" t="s">
        <v>29</v>
      </c>
      <c r="M22" s="2"/>
      <c r="N22" s="2"/>
      <c r="O22" s="2"/>
      <c r="P22" s="2"/>
      <c r="Q22" s="2"/>
      <c r="R22" s="2"/>
    </row>
    <row r="23" spans="1:18">
      <c r="A23" s="2" t="s">
        <v>145</v>
      </c>
      <c r="B23" s="2" t="s">
        <v>146</v>
      </c>
      <c r="C23" s="2" t="s">
        <v>140</v>
      </c>
      <c r="D23" s="2" t="s">
        <v>54</v>
      </c>
      <c r="E23" s="2" t="s">
        <v>47</v>
      </c>
      <c r="F23" s="2" t="s">
        <v>39</v>
      </c>
      <c r="G23" s="2" t="s">
        <v>48</v>
      </c>
      <c r="H23" s="2" t="s">
        <v>55</v>
      </c>
      <c r="I23" s="2" t="s">
        <v>147</v>
      </c>
      <c r="J23" s="2" t="s">
        <v>27</v>
      </c>
      <c r="K23" s="2" t="s">
        <v>148</v>
      </c>
      <c r="L23" s="2" t="s">
        <v>29</v>
      </c>
      <c r="M23" s="2"/>
      <c r="N23" s="2"/>
      <c r="O23" s="2"/>
      <c r="P23" s="2"/>
      <c r="Q23" s="2"/>
      <c r="R23" s="2"/>
    </row>
    <row r="24" spans="1:18">
      <c r="A24" s="2" t="s">
        <v>149</v>
      </c>
      <c r="B24" s="2" t="s">
        <v>150</v>
      </c>
      <c r="C24" s="2" t="s">
        <v>140</v>
      </c>
      <c r="D24" s="2" t="s">
        <v>104</v>
      </c>
      <c r="E24" s="2" t="s">
        <v>47</v>
      </c>
      <c r="F24" s="2" t="s">
        <v>39</v>
      </c>
      <c r="G24" s="2" t="s">
        <v>48</v>
      </c>
      <c r="H24" s="2" t="s">
        <v>49</v>
      </c>
      <c r="I24" s="2" t="s">
        <v>151</v>
      </c>
      <c r="J24" s="2" t="s">
        <v>27</v>
      </c>
      <c r="K24" s="2" t="s">
        <v>152</v>
      </c>
      <c r="L24" s="2" t="s">
        <v>29</v>
      </c>
      <c r="M24" s="2"/>
      <c r="N24" s="2"/>
      <c r="O24" s="2"/>
      <c r="P24" s="2"/>
      <c r="Q24" s="2"/>
      <c r="R24" s="2"/>
    </row>
    <row r="25" spans="1:18">
      <c r="A25" s="2" t="s">
        <v>153</v>
      </c>
      <c r="B25" s="2" t="s">
        <v>154</v>
      </c>
      <c r="C25" s="2" t="s">
        <v>140</v>
      </c>
      <c r="D25" s="2" t="s">
        <v>104</v>
      </c>
      <c r="E25" s="2" t="s">
        <v>47</v>
      </c>
      <c r="F25" s="2" t="s">
        <v>39</v>
      </c>
      <c r="G25" s="2" t="s">
        <v>48</v>
      </c>
      <c r="H25" s="2" t="s">
        <v>49</v>
      </c>
      <c r="I25" s="2" t="s">
        <v>155</v>
      </c>
      <c r="J25" s="2" t="s">
        <v>27</v>
      </c>
      <c r="K25" s="2" t="s">
        <v>156</v>
      </c>
      <c r="L25" s="2" t="s">
        <v>29</v>
      </c>
      <c r="M25" s="2"/>
      <c r="N25" s="2"/>
      <c r="O25" s="2"/>
      <c r="P25" s="2"/>
      <c r="Q25" s="2"/>
      <c r="R25" s="2"/>
    </row>
    <row r="26" spans="1:18">
      <c r="A26" s="2" t="s">
        <v>157</v>
      </c>
      <c r="B26" s="2" t="s">
        <v>158</v>
      </c>
      <c r="C26" s="2" t="s">
        <v>140</v>
      </c>
      <c r="D26" s="2" t="s">
        <v>159</v>
      </c>
      <c r="E26" s="2" t="s">
        <v>141</v>
      </c>
      <c r="F26" s="2" t="s">
        <v>39</v>
      </c>
      <c r="G26" s="2" t="s">
        <v>142</v>
      </c>
      <c r="H26" s="2" t="s">
        <v>65</v>
      </c>
      <c r="I26" s="2" t="s">
        <v>160</v>
      </c>
      <c r="J26" s="2" t="s">
        <v>75</v>
      </c>
      <c r="K26" s="2" t="s">
        <v>161</v>
      </c>
      <c r="L26" s="2" t="s">
        <v>29</v>
      </c>
      <c r="M26" s="2"/>
      <c r="N26" s="2"/>
      <c r="O26" s="2"/>
      <c r="P26" s="2"/>
      <c r="Q26" s="2"/>
      <c r="R26" s="2"/>
    </row>
    <row r="27" spans="1:18">
      <c r="A27" s="2" t="s">
        <v>162</v>
      </c>
      <c r="B27" s="2" t="s">
        <v>163</v>
      </c>
      <c r="C27" s="2" t="s">
        <v>140</v>
      </c>
      <c r="D27" s="2" t="s">
        <v>46</v>
      </c>
      <c r="E27" s="2" t="s">
        <v>22</v>
      </c>
      <c r="F27" s="2" t="s">
        <v>39</v>
      </c>
      <c r="G27" s="2" t="s">
        <v>24</v>
      </c>
      <c r="H27" s="2" t="s">
        <v>40</v>
      </c>
      <c r="I27" s="2" t="s">
        <v>164</v>
      </c>
      <c r="J27" s="2" t="s">
        <v>42</v>
      </c>
      <c r="K27" s="2" t="s">
        <v>165</v>
      </c>
      <c r="L27" s="2" t="s">
        <v>29</v>
      </c>
      <c r="M27" s="2"/>
      <c r="N27" s="2"/>
      <c r="O27" s="2"/>
      <c r="P27" s="2"/>
      <c r="Q27" s="2"/>
      <c r="R27" s="2"/>
    </row>
    <row r="28" spans="1:18">
      <c r="A28" s="2" t="s">
        <v>166</v>
      </c>
      <c r="B28" s="2" t="s">
        <v>167</v>
      </c>
      <c r="C28" s="2" t="s">
        <v>140</v>
      </c>
      <c r="D28" s="2" t="s">
        <v>46</v>
      </c>
      <c r="E28" s="2" t="s">
        <v>141</v>
      </c>
      <c r="F28" s="2" t="s">
        <v>23</v>
      </c>
      <c r="G28" s="2" t="s">
        <v>142</v>
      </c>
      <c r="H28" s="2" t="s">
        <v>40</v>
      </c>
      <c r="I28" s="2" t="s">
        <v>168</v>
      </c>
      <c r="J28" s="2" t="s">
        <v>42</v>
      </c>
      <c r="K28" s="2" t="s">
        <v>169</v>
      </c>
      <c r="L28" s="2" t="s">
        <v>29</v>
      </c>
      <c r="M28" s="2"/>
      <c r="N28" s="2"/>
      <c r="O28" s="2"/>
      <c r="P28" s="2"/>
      <c r="Q28" s="2"/>
      <c r="R28" s="2"/>
    </row>
    <row r="29" spans="1:18">
      <c r="A29" s="2" t="s">
        <v>170</v>
      </c>
      <c r="B29" s="2" t="s">
        <v>171</v>
      </c>
      <c r="C29" s="2" t="s">
        <v>140</v>
      </c>
      <c r="D29" s="2" t="s">
        <v>46</v>
      </c>
      <c r="E29" s="2" t="s">
        <v>141</v>
      </c>
      <c r="F29" s="2" t="s">
        <v>39</v>
      </c>
      <c r="G29" s="2" t="s">
        <v>142</v>
      </c>
      <c r="H29" s="2" t="s">
        <v>40</v>
      </c>
      <c r="I29" s="2" t="s">
        <v>172</v>
      </c>
      <c r="J29" s="2" t="s">
        <v>42</v>
      </c>
      <c r="K29" s="2" t="s">
        <v>173</v>
      </c>
      <c r="L29" s="2" t="s">
        <v>29</v>
      </c>
      <c r="M29" s="2"/>
      <c r="N29" s="2"/>
      <c r="O29" s="2"/>
      <c r="P29" s="2"/>
      <c r="Q29" s="2"/>
      <c r="R29" s="2"/>
    </row>
    <row r="30" spans="1:18">
      <c r="A30" s="2" t="s">
        <v>174</v>
      </c>
      <c r="B30" s="2" t="s">
        <v>175</v>
      </c>
      <c r="C30" s="2" t="s">
        <v>140</v>
      </c>
      <c r="D30" s="2" t="s">
        <v>176</v>
      </c>
      <c r="E30" s="2" t="s">
        <v>141</v>
      </c>
      <c r="F30" s="2" t="s">
        <v>39</v>
      </c>
      <c r="G30" s="2" t="s">
        <v>142</v>
      </c>
      <c r="H30" s="2" t="s">
        <v>40</v>
      </c>
      <c r="I30" s="2" t="s">
        <v>177</v>
      </c>
      <c r="J30" s="2" t="s">
        <v>42</v>
      </c>
      <c r="K30" s="2" t="s">
        <v>178</v>
      </c>
      <c r="L30" s="2" t="s">
        <v>29</v>
      </c>
      <c r="M30" s="2"/>
      <c r="N30" s="2"/>
      <c r="O30" s="2"/>
      <c r="P30" s="2"/>
      <c r="Q30" s="2"/>
      <c r="R30" s="2"/>
    </row>
    <row r="31" spans="1:18">
      <c r="A31" s="2" t="s">
        <v>179</v>
      </c>
      <c r="B31" s="2" t="s">
        <v>180</v>
      </c>
      <c r="C31" s="2" t="s">
        <v>140</v>
      </c>
      <c r="D31" s="2" t="s">
        <v>46</v>
      </c>
      <c r="E31" s="2" t="s">
        <v>22</v>
      </c>
      <c r="F31" s="2" t="s">
        <v>23</v>
      </c>
      <c r="G31" s="2" t="s">
        <v>24</v>
      </c>
      <c r="H31" s="2" t="s">
        <v>40</v>
      </c>
      <c r="I31" s="2" t="s">
        <v>181</v>
      </c>
      <c r="J31" s="2" t="s">
        <v>42</v>
      </c>
      <c r="K31" s="2" t="s">
        <v>182</v>
      </c>
      <c r="L31" s="2" t="s">
        <v>29</v>
      </c>
      <c r="M31" s="2"/>
      <c r="N31" s="2"/>
      <c r="O31" s="2"/>
      <c r="P31" s="2"/>
      <c r="Q31" s="2"/>
      <c r="R31" s="2"/>
    </row>
    <row r="32" spans="1:18">
      <c r="A32" s="2" t="s">
        <v>183</v>
      </c>
      <c r="B32" s="2" t="s">
        <v>184</v>
      </c>
      <c r="C32" s="2" t="s">
        <v>185</v>
      </c>
      <c r="D32" s="2" t="s">
        <v>186</v>
      </c>
      <c r="E32" s="2" t="s">
        <v>47</v>
      </c>
      <c r="F32" s="2" t="s">
        <v>39</v>
      </c>
      <c r="G32" s="2" t="s">
        <v>48</v>
      </c>
      <c r="H32" s="2" t="s">
        <v>49</v>
      </c>
      <c r="I32" s="2" t="s">
        <v>187</v>
      </c>
      <c r="J32" s="2" t="s">
        <v>27</v>
      </c>
      <c r="K32" s="2" t="s">
        <v>188</v>
      </c>
      <c r="L32" s="2" t="s">
        <v>29</v>
      </c>
      <c r="M32" s="2"/>
      <c r="N32" s="2"/>
      <c r="O32" s="2"/>
      <c r="P32" s="2"/>
      <c r="Q32" s="2"/>
      <c r="R32" s="2"/>
    </row>
    <row r="33" spans="1:18">
      <c r="A33" s="2" t="s">
        <v>189</v>
      </c>
      <c r="B33" s="2" t="s">
        <v>190</v>
      </c>
      <c r="C33" s="2" t="s">
        <v>185</v>
      </c>
      <c r="D33" s="2" t="s">
        <v>46</v>
      </c>
      <c r="E33" s="2" t="s">
        <v>22</v>
      </c>
      <c r="F33" s="2" t="s">
        <v>39</v>
      </c>
      <c r="G33" s="2" t="s">
        <v>24</v>
      </c>
      <c r="H33" s="2" t="s">
        <v>40</v>
      </c>
      <c r="I33" s="2" t="s">
        <v>191</v>
      </c>
      <c r="J33" s="2" t="s">
        <v>42</v>
      </c>
      <c r="K33" s="2" t="s">
        <v>192</v>
      </c>
      <c r="L33" s="2" t="s">
        <v>29</v>
      </c>
      <c r="M33" s="2"/>
      <c r="N33" s="2"/>
      <c r="O33" s="2"/>
      <c r="P33" s="2"/>
      <c r="Q33" s="2"/>
      <c r="R33" s="2"/>
    </row>
    <row r="34" spans="1:18">
      <c r="A34" s="2" t="s">
        <v>193</v>
      </c>
      <c r="B34" s="2" t="s">
        <v>194</v>
      </c>
      <c r="C34" s="2" t="s">
        <v>185</v>
      </c>
      <c r="D34" s="2" t="s">
        <v>119</v>
      </c>
      <c r="E34" s="2" t="s">
        <v>22</v>
      </c>
      <c r="F34" s="2" t="s">
        <v>39</v>
      </c>
      <c r="G34" s="2" t="s">
        <v>24</v>
      </c>
      <c r="H34" s="2" t="s">
        <v>120</v>
      </c>
      <c r="I34" s="2" t="s">
        <v>195</v>
      </c>
      <c r="J34" s="2" t="s">
        <v>122</v>
      </c>
      <c r="K34" s="2" t="s">
        <v>196</v>
      </c>
      <c r="L34" s="2" t="s">
        <v>29</v>
      </c>
      <c r="M34" s="2"/>
      <c r="N34" s="2"/>
      <c r="O34" s="2"/>
      <c r="P34" s="2"/>
      <c r="Q34" s="2"/>
      <c r="R34" s="2"/>
    </row>
    <row r="35" spans="1:18">
      <c r="A35" s="2" t="s">
        <v>197</v>
      </c>
      <c r="B35" s="2" t="s">
        <v>198</v>
      </c>
      <c r="C35" s="2" t="s">
        <v>185</v>
      </c>
      <c r="D35" s="2" t="s">
        <v>119</v>
      </c>
      <c r="E35" s="2" t="s">
        <v>47</v>
      </c>
      <c r="F35" s="2" t="s">
        <v>39</v>
      </c>
      <c r="G35" s="2" t="s">
        <v>48</v>
      </c>
      <c r="H35" s="2" t="s">
        <v>120</v>
      </c>
      <c r="I35" s="2" t="s">
        <v>199</v>
      </c>
      <c r="J35" s="2" t="s">
        <v>27</v>
      </c>
      <c r="K35" s="2" t="s">
        <v>200</v>
      </c>
      <c r="L35" s="2" t="s">
        <v>29</v>
      </c>
      <c r="M35" s="2"/>
      <c r="N35" s="2"/>
      <c r="O35" s="2"/>
      <c r="P35" s="2"/>
      <c r="Q35" s="2"/>
      <c r="R35" s="2"/>
    </row>
    <row r="36" spans="1:18">
      <c r="A36" s="2" t="s">
        <v>201</v>
      </c>
      <c r="B36" s="2" t="s">
        <v>202</v>
      </c>
      <c r="C36" s="2" t="s">
        <v>185</v>
      </c>
      <c r="D36" s="2" t="s">
        <v>32</v>
      </c>
      <c r="E36" s="2" t="s">
        <v>22</v>
      </c>
      <c r="F36" s="2" t="s">
        <v>39</v>
      </c>
      <c r="G36" s="2" t="s">
        <v>24</v>
      </c>
      <c r="H36" s="2" t="s">
        <v>25</v>
      </c>
      <c r="I36" s="2" t="s">
        <v>203</v>
      </c>
      <c r="J36" s="2" t="s">
        <v>34</v>
      </c>
      <c r="K36" s="2" t="s">
        <v>204</v>
      </c>
      <c r="L36" s="2" t="s">
        <v>29</v>
      </c>
      <c r="M36" s="2"/>
      <c r="N36" s="2"/>
      <c r="O36" s="2"/>
      <c r="P36" s="2"/>
      <c r="Q36" s="2"/>
      <c r="R36" s="2"/>
    </row>
    <row r="37" spans="1:18">
      <c r="A37" s="2" t="s">
        <v>205</v>
      </c>
      <c r="B37" s="2" t="s">
        <v>206</v>
      </c>
      <c r="C37" s="2" t="s">
        <v>207</v>
      </c>
      <c r="D37" s="2" t="s">
        <v>208</v>
      </c>
      <c r="E37" s="2" t="s">
        <v>22</v>
      </c>
      <c r="F37" s="2" t="s">
        <v>39</v>
      </c>
      <c r="G37" s="2" t="s">
        <v>24</v>
      </c>
      <c r="H37" s="2" t="s">
        <v>84</v>
      </c>
      <c r="I37" s="2" t="s">
        <v>209</v>
      </c>
      <c r="J37" s="2" t="s">
        <v>34</v>
      </c>
      <c r="K37" s="2" t="s">
        <v>210</v>
      </c>
      <c r="L37" s="2" t="s">
        <v>29</v>
      </c>
      <c r="M37" s="2"/>
      <c r="N37" s="2"/>
      <c r="O37" s="2"/>
      <c r="P37" s="2"/>
      <c r="Q37" s="2"/>
      <c r="R37" s="2"/>
    </row>
    <row r="38" spans="1:18">
      <c r="A38" s="2" t="s">
        <v>211</v>
      </c>
      <c r="B38" s="2" t="s">
        <v>212</v>
      </c>
      <c r="C38" s="2" t="s">
        <v>207</v>
      </c>
      <c r="D38" s="2" t="s">
        <v>119</v>
      </c>
      <c r="E38" s="2" t="s">
        <v>22</v>
      </c>
      <c r="F38" s="2" t="s">
        <v>39</v>
      </c>
      <c r="G38" s="2" t="s">
        <v>24</v>
      </c>
      <c r="H38" s="2" t="s">
        <v>120</v>
      </c>
      <c r="I38" s="2" t="s">
        <v>213</v>
      </c>
      <c r="J38" s="2" t="s">
        <v>122</v>
      </c>
      <c r="K38" s="2" t="s">
        <v>214</v>
      </c>
      <c r="L38" s="2" t="s">
        <v>29</v>
      </c>
      <c r="M38" s="2"/>
      <c r="N38" s="2"/>
      <c r="O38" s="2"/>
      <c r="P38" s="2"/>
      <c r="Q38" s="2"/>
      <c r="R38" s="2"/>
    </row>
    <row r="39" spans="1:18">
      <c r="A39" s="2" t="s">
        <v>215</v>
      </c>
      <c r="B39" s="2" t="s">
        <v>216</v>
      </c>
      <c r="C39" s="2" t="s">
        <v>207</v>
      </c>
      <c r="D39" s="2" t="s">
        <v>217</v>
      </c>
      <c r="E39" s="2" t="s">
        <v>71</v>
      </c>
      <c r="F39" s="2" t="s">
        <v>39</v>
      </c>
      <c r="G39" s="2" t="s">
        <v>142</v>
      </c>
      <c r="H39" s="2" t="s">
        <v>84</v>
      </c>
      <c r="I39" s="2" t="s">
        <v>218</v>
      </c>
      <c r="J39" s="2" t="s">
        <v>75</v>
      </c>
      <c r="K39" s="2" t="s">
        <v>219</v>
      </c>
      <c r="L39" s="2" t="s">
        <v>29</v>
      </c>
      <c r="M39" s="2"/>
      <c r="N39" s="2"/>
      <c r="O39" s="2"/>
      <c r="P39" s="2"/>
      <c r="Q39" s="2"/>
      <c r="R39" s="2"/>
    </row>
    <row r="40" spans="1:18">
      <c r="A40" s="2" t="s">
        <v>220</v>
      </c>
      <c r="B40" s="2" t="s">
        <v>221</v>
      </c>
      <c r="C40" s="2" t="s">
        <v>207</v>
      </c>
      <c r="D40" s="2" t="s">
        <v>222</v>
      </c>
      <c r="E40" s="2" t="s">
        <v>71</v>
      </c>
      <c r="F40" s="2" t="s">
        <v>39</v>
      </c>
      <c r="G40" s="2" t="s">
        <v>142</v>
      </c>
      <c r="H40" s="2" t="s">
        <v>84</v>
      </c>
      <c r="I40" s="2" t="s">
        <v>223</v>
      </c>
      <c r="J40" s="2" t="s">
        <v>75</v>
      </c>
      <c r="K40" s="2" t="s">
        <v>224</v>
      </c>
      <c r="L40" s="2" t="s">
        <v>29</v>
      </c>
      <c r="M40" s="2"/>
      <c r="N40" s="2"/>
      <c r="O40" s="2"/>
      <c r="P40" s="2"/>
      <c r="Q40" s="2"/>
      <c r="R40" s="2"/>
    </row>
    <row r="41" spans="1:18">
      <c r="A41" s="2" t="s">
        <v>225</v>
      </c>
      <c r="B41" s="2" t="s">
        <v>226</v>
      </c>
      <c r="C41" s="2" t="s">
        <v>207</v>
      </c>
      <c r="D41" s="2" t="s">
        <v>227</v>
      </c>
      <c r="E41" s="2" t="s">
        <v>22</v>
      </c>
      <c r="F41" s="2" t="s">
        <v>39</v>
      </c>
      <c r="G41" s="2" t="s">
        <v>24</v>
      </c>
      <c r="H41" s="2" t="s">
        <v>25</v>
      </c>
      <c r="I41" s="2" t="s">
        <v>228</v>
      </c>
      <c r="J41" s="2" t="s">
        <v>34</v>
      </c>
      <c r="K41" s="2" t="s">
        <v>229</v>
      </c>
      <c r="L41" s="2" t="s">
        <v>29</v>
      </c>
      <c r="M41" s="2"/>
      <c r="N41" s="2"/>
      <c r="O41" s="2"/>
      <c r="P41" s="2"/>
      <c r="Q41" s="2"/>
      <c r="R41" s="2"/>
    </row>
    <row r="42" spans="1:18">
      <c r="A42" s="2" t="s">
        <v>230</v>
      </c>
      <c r="B42" s="2" t="s">
        <v>231</v>
      </c>
      <c r="C42" s="2" t="s">
        <v>232</v>
      </c>
      <c r="D42" s="2" t="s">
        <v>233</v>
      </c>
      <c r="E42" s="2" t="s">
        <v>47</v>
      </c>
      <c r="F42" s="2" t="s">
        <v>23</v>
      </c>
      <c r="G42" s="2" t="s">
        <v>48</v>
      </c>
      <c r="H42" s="2" t="s">
        <v>234</v>
      </c>
      <c r="I42" s="2" t="s">
        <v>235</v>
      </c>
      <c r="J42" s="2" t="s">
        <v>236</v>
      </c>
      <c r="K42" s="2" t="s">
        <v>237</v>
      </c>
      <c r="L42" s="2" t="s">
        <v>29</v>
      </c>
      <c r="M42" s="2"/>
      <c r="N42" s="2"/>
      <c r="O42" s="2"/>
      <c r="P42" s="2"/>
      <c r="Q42" s="2"/>
      <c r="R42" s="2"/>
    </row>
    <row r="43" spans="1:18">
      <c r="A43" s="2" t="s">
        <v>238</v>
      </c>
      <c r="B43" s="2" t="s">
        <v>239</v>
      </c>
      <c r="C43" s="2" t="s">
        <v>232</v>
      </c>
      <c r="D43" s="2" t="s">
        <v>233</v>
      </c>
      <c r="E43" s="2" t="s">
        <v>141</v>
      </c>
      <c r="F43" s="2" t="s">
        <v>39</v>
      </c>
      <c r="G43" s="2" t="s">
        <v>24</v>
      </c>
      <c r="H43" s="2" t="s">
        <v>234</v>
      </c>
      <c r="I43" s="2" t="s">
        <v>240</v>
      </c>
      <c r="J43" s="2" t="s">
        <v>236</v>
      </c>
      <c r="K43" s="2" t="s">
        <v>241</v>
      </c>
      <c r="L43" s="2" t="s">
        <v>29</v>
      </c>
      <c r="M43" s="2"/>
      <c r="N43" s="2"/>
      <c r="O43" s="2"/>
      <c r="P43" s="2"/>
      <c r="Q43" s="2"/>
      <c r="R43" s="2"/>
    </row>
    <row r="44" spans="1:18">
      <c r="A44" s="2" t="s">
        <v>242</v>
      </c>
      <c r="B44" s="2" t="s">
        <v>243</v>
      </c>
      <c r="C44" s="2" t="s">
        <v>232</v>
      </c>
      <c r="D44" s="2" t="s">
        <v>233</v>
      </c>
      <c r="E44" s="2" t="s">
        <v>22</v>
      </c>
      <c r="F44" s="2" t="s">
        <v>23</v>
      </c>
      <c r="G44" s="2" t="s">
        <v>24</v>
      </c>
      <c r="H44" s="2" t="s">
        <v>234</v>
      </c>
      <c r="I44" s="2" t="s">
        <v>244</v>
      </c>
      <c r="J44" s="2" t="s">
        <v>236</v>
      </c>
      <c r="K44" s="2" t="s">
        <v>245</v>
      </c>
      <c r="L44" s="2" t="s">
        <v>29</v>
      </c>
      <c r="M44" s="2"/>
      <c r="N44" s="2"/>
      <c r="O44" s="2"/>
      <c r="P44" s="2"/>
      <c r="Q44" s="2"/>
      <c r="R44" s="2"/>
    </row>
    <row r="45" spans="1:18">
      <c r="A45" s="2" t="s">
        <v>246</v>
      </c>
      <c r="B45" s="2" t="s">
        <v>247</v>
      </c>
      <c r="C45" s="2" t="s">
        <v>232</v>
      </c>
      <c r="D45" s="2" t="s">
        <v>70</v>
      </c>
      <c r="E45" s="2" t="s">
        <v>71</v>
      </c>
      <c r="F45" s="2" t="s">
        <v>39</v>
      </c>
      <c r="G45" s="2" t="s">
        <v>248</v>
      </c>
      <c r="H45" s="2" t="s">
        <v>234</v>
      </c>
      <c r="I45" s="2" t="s">
        <v>249</v>
      </c>
      <c r="J45" s="2" t="s">
        <v>236</v>
      </c>
      <c r="K45" s="2" t="s">
        <v>250</v>
      </c>
      <c r="L45" s="2" t="s">
        <v>29</v>
      </c>
      <c r="M45" s="2"/>
      <c r="N45" s="2"/>
      <c r="O45" s="2"/>
      <c r="P45" s="2"/>
      <c r="Q45" s="2"/>
      <c r="R45" s="2"/>
    </row>
    <row r="46" spans="1:18">
      <c r="A46" s="2" t="s">
        <v>251</v>
      </c>
      <c r="B46" s="2" t="s">
        <v>252</v>
      </c>
      <c r="C46" s="2" t="s">
        <v>232</v>
      </c>
      <c r="D46" s="2" t="s">
        <v>233</v>
      </c>
      <c r="E46" s="2" t="s">
        <v>22</v>
      </c>
      <c r="F46" s="2" t="s">
        <v>39</v>
      </c>
      <c r="G46" s="2" t="s">
        <v>24</v>
      </c>
      <c r="H46" s="2" t="s">
        <v>234</v>
      </c>
      <c r="I46" s="2" t="s">
        <v>253</v>
      </c>
      <c r="J46" s="2" t="s">
        <v>236</v>
      </c>
      <c r="K46" s="2" t="s">
        <v>254</v>
      </c>
      <c r="L46" s="2" t="s">
        <v>29</v>
      </c>
      <c r="M46" s="2"/>
      <c r="N46" s="2"/>
      <c r="O46" s="2"/>
      <c r="P46" s="2"/>
      <c r="Q46" s="2"/>
      <c r="R46" s="2"/>
    </row>
    <row r="47" spans="1:18">
      <c r="A47" s="2" t="s">
        <v>255</v>
      </c>
      <c r="B47" s="2" t="s">
        <v>256</v>
      </c>
      <c r="C47" s="2" t="s">
        <v>257</v>
      </c>
      <c r="D47" s="2" t="s">
        <v>258</v>
      </c>
      <c r="E47" s="2" t="s">
        <v>141</v>
      </c>
      <c r="F47" s="2" t="s">
        <v>39</v>
      </c>
      <c r="G47" s="2" t="s">
        <v>142</v>
      </c>
      <c r="H47" s="2" t="s">
        <v>259</v>
      </c>
      <c r="I47" s="2" t="s">
        <v>260</v>
      </c>
      <c r="J47" s="2" t="s">
        <v>75</v>
      </c>
      <c r="K47" s="2" t="s">
        <v>261</v>
      </c>
      <c r="L47" s="2" t="s">
        <v>29</v>
      </c>
      <c r="M47" s="2"/>
      <c r="N47" s="2"/>
      <c r="O47" s="2"/>
      <c r="P47" s="2"/>
      <c r="Q47" s="2"/>
      <c r="R47" s="2"/>
    </row>
    <row r="48" spans="1:18">
      <c r="A48" s="2" t="s">
        <v>262</v>
      </c>
      <c r="B48" s="2" t="s">
        <v>263</v>
      </c>
      <c r="C48" s="2" t="s">
        <v>257</v>
      </c>
      <c r="D48" s="2" t="s">
        <v>264</v>
      </c>
      <c r="E48" s="2" t="s">
        <v>141</v>
      </c>
      <c r="F48" s="2" t="s">
        <v>39</v>
      </c>
      <c r="G48" s="2" t="s">
        <v>142</v>
      </c>
      <c r="H48" s="2" t="s">
        <v>135</v>
      </c>
      <c r="I48" s="2" t="s">
        <v>265</v>
      </c>
      <c r="J48" s="2" t="s">
        <v>75</v>
      </c>
      <c r="K48" s="2" t="s">
        <v>266</v>
      </c>
      <c r="L48" s="2" t="s">
        <v>29</v>
      </c>
      <c r="M48" s="2"/>
      <c r="N48" s="2"/>
      <c r="O48" s="2"/>
      <c r="P48" s="2"/>
      <c r="Q48" s="2"/>
      <c r="R48" s="2"/>
    </row>
    <row r="49" spans="1:18">
      <c r="A49" s="2" t="s">
        <v>267</v>
      </c>
      <c r="B49" s="2" t="s">
        <v>268</v>
      </c>
      <c r="C49" s="2" t="s">
        <v>257</v>
      </c>
      <c r="D49" s="2" t="s">
        <v>264</v>
      </c>
      <c r="E49" s="2" t="s">
        <v>47</v>
      </c>
      <c r="F49" s="2" t="s">
        <v>39</v>
      </c>
      <c r="G49" s="2" t="s">
        <v>48</v>
      </c>
      <c r="H49" s="2" t="s">
        <v>135</v>
      </c>
      <c r="I49" s="2" t="s">
        <v>269</v>
      </c>
      <c r="J49" s="2" t="s">
        <v>27</v>
      </c>
      <c r="K49" s="2" t="s">
        <v>270</v>
      </c>
      <c r="L49" s="2" t="s">
        <v>29</v>
      </c>
      <c r="M49" s="2"/>
      <c r="N49" s="2"/>
      <c r="O49" s="2"/>
      <c r="P49" s="2"/>
      <c r="Q49" s="2"/>
      <c r="R49" s="2"/>
    </row>
    <row r="50" spans="1:18">
      <c r="A50" s="2" t="s">
        <v>271</v>
      </c>
      <c r="B50" s="2" t="s">
        <v>272</v>
      </c>
      <c r="C50" s="2" t="s">
        <v>257</v>
      </c>
      <c r="D50" s="2" t="s">
        <v>273</v>
      </c>
      <c r="E50" s="2" t="s">
        <v>22</v>
      </c>
      <c r="F50" s="2" t="s">
        <v>39</v>
      </c>
      <c r="G50" s="2" t="s">
        <v>24</v>
      </c>
      <c r="H50" s="2" t="s">
        <v>135</v>
      </c>
      <c r="I50" s="2" t="s">
        <v>274</v>
      </c>
      <c r="J50" s="2" t="s">
        <v>34</v>
      </c>
      <c r="K50" s="2" t="s">
        <v>275</v>
      </c>
      <c r="L50" s="2" t="s">
        <v>29</v>
      </c>
      <c r="M50" s="2"/>
      <c r="N50" s="2"/>
      <c r="O50" s="2"/>
      <c r="P50" s="2"/>
      <c r="Q50" s="2"/>
      <c r="R50" s="2"/>
    </row>
    <row r="51" spans="1:18">
      <c r="A51" s="2" t="s">
        <v>276</v>
      </c>
      <c r="B51" s="2" t="s">
        <v>277</v>
      </c>
      <c r="C51" s="2" t="s">
        <v>257</v>
      </c>
      <c r="D51" s="2" t="s">
        <v>264</v>
      </c>
      <c r="E51" s="2" t="s">
        <v>47</v>
      </c>
      <c r="F51" s="2" t="s">
        <v>39</v>
      </c>
      <c r="G51" s="2" t="s">
        <v>48</v>
      </c>
      <c r="H51" s="2" t="s">
        <v>135</v>
      </c>
      <c r="I51" s="2" t="s">
        <v>278</v>
      </c>
      <c r="J51" s="2" t="s">
        <v>27</v>
      </c>
      <c r="K51" s="2" t="s">
        <v>279</v>
      </c>
      <c r="L51" s="2" t="s">
        <v>29</v>
      </c>
      <c r="M51" s="2"/>
      <c r="N51" s="2"/>
      <c r="O51" s="2"/>
      <c r="P51" s="2"/>
      <c r="Q51" s="2"/>
      <c r="R51" s="2"/>
    </row>
    <row r="52" spans="1:18">
      <c r="A52" s="2" t="s">
        <v>280</v>
      </c>
      <c r="B52" s="2" t="s">
        <v>281</v>
      </c>
      <c r="C52" s="2" t="s">
        <v>282</v>
      </c>
      <c r="D52" s="2" t="s">
        <v>159</v>
      </c>
      <c r="E52" s="2" t="s">
        <v>22</v>
      </c>
      <c r="F52" s="2" t="s">
        <v>39</v>
      </c>
      <c r="G52" s="2" t="s">
        <v>24</v>
      </c>
      <c r="H52" s="2" t="s">
        <v>65</v>
      </c>
      <c r="I52" s="2" t="s">
        <v>283</v>
      </c>
      <c r="J52" s="2" t="s">
        <v>34</v>
      </c>
      <c r="K52" s="2" t="s">
        <v>284</v>
      </c>
      <c r="L52" s="2" t="s">
        <v>29</v>
      </c>
      <c r="M52" s="2"/>
      <c r="N52" s="2"/>
      <c r="O52" s="2"/>
      <c r="P52" s="2"/>
      <c r="Q52" s="2"/>
      <c r="R52" s="2"/>
    </row>
    <row r="53" spans="1:18">
      <c r="A53" s="2" t="s">
        <v>285</v>
      </c>
      <c r="B53" s="2" t="s">
        <v>286</v>
      </c>
      <c r="C53" s="2" t="s">
        <v>282</v>
      </c>
      <c r="D53" s="2" t="s">
        <v>64</v>
      </c>
      <c r="E53" s="2" t="s">
        <v>22</v>
      </c>
      <c r="F53" s="2" t="s">
        <v>39</v>
      </c>
      <c r="G53" s="2" t="s">
        <v>24</v>
      </c>
      <c r="H53" s="2" t="s">
        <v>65</v>
      </c>
      <c r="I53" s="2" t="s">
        <v>287</v>
      </c>
      <c r="J53" s="2" t="s">
        <v>34</v>
      </c>
      <c r="K53" s="2" t="s">
        <v>288</v>
      </c>
      <c r="L53" s="2" t="s">
        <v>29</v>
      </c>
      <c r="M53" s="2"/>
      <c r="N53" s="2"/>
      <c r="O53" s="2"/>
      <c r="P53" s="2"/>
      <c r="Q53" s="2"/>
      <c r="R53" s="2"/>
    </row>
    <row r="54" spans="1:18">
      <c r="A54" s="2" t="s">
        <v>289</v>
      </c>
      <c r="B54" s="2" t="s">
        <v>290</v>
      </c>
      <c r="C54" s="2" t="s">
        <v>282</v>
      </c>
      <c r="D54" s="2" t="s">
        <v>119</v>
      </c>
      <c r="E54" s="2" t="s">
        <v>22</v>
      </c>
      <c r="F54" s="2" t="s">
        <v>39</v>
      </c>
      <c r="G54" s="2" t="s">
        <v>24</v>
      </c>
      <c r="H54" s="2" t="s">
        <v>120</v>
      </c>
      <c r="I54" s="2" t="s">
        <v>291</v>
      </c>
      <c r="J54" s="2" t="s">
        <v>122</v>
      </c>
      <c r="K54" s="2" t="s">
        <v>292</v>
      </c>
      <c r="L54" s="2" t="s">
        <v>29</v>
      </c>
      <c r="M54" s="2"/>
      <c r="N54" s="2"/>
      <c r="O54" s="2"/>
      <c r="P54" s="2"/>
      <c r="Q54" s="2"/>
      <c r="R54" s="2"/>
    </row>
    <row r="55" spans="1:18">
      <c r="A55" s="2" t="s">
        <v>293</v>
      </c>
      <c r="B55" s="2" t="s">
        <v>294</v>
      </c>
      <c r="C55" s="2" t="s">
        <v>282</v>
      </c>
      <c r="D55" s="2" t="s">
        <v>295</v>
      </c>
      <c r="E55" s="2" t="s">
        <v>22</v>
      </c>
      <c r="F55" s="2" t="s">
        <v>39</v>
      </c>
      <c r="G55" s="2" t="s">
        <v>24</v>
      </c>
      <c r="H55" s="2" t="s">
        <v>135</v>
      </c>
      <c r="I55" s="2" t="s">
        <v>296</v>
      </c>
      <c r="J55" s="2" t="s">
        <v>34</v>
      </c>
      <c r="K55" s="2" t="s">
        <v>297</v>
      </c>
      <c r="L55" s="2" t="s">
        <v>29</v>
      </c>
      <c r="M55" s="2"/>
      <c r="N55" s="2"/>
      <c r="O55" s="2"/>
      <c r="P55" s="2"/>
      <c r="Q55" s="2"/>
      <c r="R55" s="2"/>
    </row>
    <row r="56" spans="1:18">
      <c r="A56" s="2" t="s">
        <v>298</v>
      </c>
      <c r="B56" s="2" t="s">
        <v>299</v>
      </c>
      <c r="C56" s="2" t="s">
        <v>300</v>
      </c>
      <c r="D56" s="2" t="s">
        <v>301</v>
      </c>
      <c r="E56" s="2" t="s">
        <v>71</v>
      </c>
      <c r="F56" s="2" t="s">
        <v>39</v>
      </c>
      <c r="G56" s="2" t="s">
        <v>24</v>
      </c>
      <c r="H56" s="2" t="s">
        <v>302</v>
      </c>
      <c r="I56" s="2" t="s">
        <v>303</v>
      </c>
      <c r="J56" s="2" t="s">
        <v>304</v>
      </c>
      <c r="K56" s="2" t="s">
        <v>305</v>
      </c>
      <c r="L56" s="2" t="s">
        <v>29</v>
      </c>
      <c r="M56" s="2"/>
      <c r="N56" s="2"/>
      <c r="O56" s="2"/>
      <c r="P56" s="2"/>
      <c r="Q56" s="2"/>
      <c r="R56" s="2"/>
    </row>
    <row r="57" spans="1:18">
      <c r="A57" s="2" t="s">
        <v>306</v>
      </c>
      <c r="B57" s="2" t="s">
        <v>307</v>
      </c>
      <c r="C57" s="2" t="s">
        <v>300</v>
      </c>
      <c r="D57" s="2" t="s">
        <v>308</v>
      </c>
      <c r="E57" s="2" t="s">
        <v>71</v>
      </c>
      <c r="F57" s="2" t="s">
        <v>72</v>
      </c>
      <c r="G57" s="2" t="s">
        <v>24</v>
      </c>
      <c r="H57" s="2" t="s">
        <v>302</v>
      </c>
      <c r="I57" s="2" t="s">
        <v>309</v>
      </c>
      <c r="J57" s="2" t="s">
        <v>304</v>
      </c>
      <c r="K57" s="2" t="s">
        <v>310</v>
      </c>
      <c r="L57" s="2" t="s">
        <v>29</v>
      </c>
      <c r="M57" s="2"/>
      <c r="N57" s="2"/>
      <c r="O57" s="2"/>
      <c r="P57" s="2"/>
      <c r="Q57" s="2"/>
      <c r="R57" s="2"/>
    </row>
    <row r="58" spans="1:18">
      <c r="A58" s="2" t="s">
        <v>311</v>
      </c>
      <c r="B58" s="2" t="s">
        <v>312</v>
      </c>
      <c r="C58" s="2" t="s">
        <v>300</v>
      </c>
      <c r="D58" s="2" t="s">
        <v>313</v>
      </c>
      <c r="E58" s="2" t="s">
        <v>22</v>
      </c>
      <c r="F58" s="2" t="s">
        <v>39</v>
      </c>
      <c r="G58" s="2" t="s">
        <v>24</v>
      </c>
      <c r="H58" s="2" t="s">
        <v>302</v>
      </c>
      <c r="I58" s="2" t="s">
        <v>314</v>
      </c>
      <c r="J58" s="2" t="s">
        <v>304</v>
      </c>
      <c r="K58" s="2" t="s">
        <v>315</v>
      </c>
      <c r="L58" s="2" t="s">
        <v>29</v>
      </c>
      <c r="M58" s="2"/>
      <c r="N58" s="2"/>
      <c r="O58" s="2"/>
      <c r="P58" s="2"/>
      <c r="Q58" s="2"/>
      <c r="R58" s="2"/>
    </row>
    <row r="59" spans="1:18">
      <c r="A59" s="2" t="s">
        <v>316</v>
      </c>
      <c r="B59" s="2" t="s">
        <v>317</v>
      </c>
      <c r="C59" s="2" t="s">
        <v>300</v>
      </c>
      <c r="D59" s="2" t="s">
        <v>308</v>
      </c>
      <c r="E59" s="2" t="s">
        <v>71</v>
      </c>
      <c r="F59" s="2" t="s">
        <v>39</v>
      </c>
      <c r="G59" s="2" t="s">
        <v>24</v>
      </c>
      <c r="H59" s="2" t="s">
        <v>302</v>
      </c>
      <c r="I59" s="2" t="s">
        <v>318</v>
      </c>
      <c r="J59" s="2" t="s">
        <v>304</v>
      </c>
      <c r="K59" s="2" t="s">
        <v>319</v>
      </c>
      <c r="L59" s="2" t="s">
        <v>29</v>
      </c>
      <c r="M59" s="2"/>
      <c r="N59" s="2"/>
      <c r="O59" s="2"/>
      <c r="P59" s="2"/>
      <c r="Q59" s="2"/>
      <c r="R59" s="2"/>
    </row>
    <row r="60" spans="1:18">
      <c r="A60" s="2" t="s">
        <v>320</v>
      </c>
      <c r="B60" s="2" t="s">
        <v>321</v>
      </c>
      <c r="C60" s="2" t="s">
        <v>90</v>
      </c>
      <c r="D60" s="2" t="s">
        <v>90</v>
      </c>
      <c r="E60" s="2" t="s">
        <v>22</v>
      </c>
      <c r="F60" s="2" t="s">
        <v>23</v>
      </c>
      <c r="G60" s="2" t="s">
        <v>24</v>
      </c>
      <c r="H60" s="2" t="s">
        <v>25</v>
      </c>
      <c r="I60" s="2" t="s">
        <v>322</v>
      </c>
      <c r="J60" s="2" t="s">
        <v>34</v>
      </c>
      <c r="K60" s="2" t="s">
        <v>323</v>
      </c>
      <c r="L60" s="2" t="s">
        <v>29</v>
      </c>
      <c r="M60" s="2"/>
      <c r="N60" s="2"/>
      <c r="O60" s="2"/>
      <c r="P60" s="2"/>
      <c r="Q60" s="2"/>
      <c r="R60" s="2"/>
    </row>
    <row r="61" spans="1:18">
      <c r="A61" s="2" t="s">
        <v>324</v>
      </c>
      <c r="B61" s="2" t="s">
        <v>325</v>
      </c>
      <c r="C61" s="2" t="s">
        <v>90</v>
      </c>
      <c r="D61" s="2" t="s">
        <v>90</v>
      </c>
      <c r="E61" s="2" t="s">
        <v>22</v>
      </c>
      <c r="F61" s="2" t="s">
        <v>23</v>
      </c>
      <c r="G61" s="2" t="s">
        <v>24</v>
      </c>
      <c r="H61" s="2" t="s">
        <v>25</v>
      </c>
      <c r="I61" s="2" t="s">
        <v>326</v>
      </c>
      <c r="J61" s="2" t="s">
        <v>34</v>
      </c>
      <c r="K61" s="2" t="s">
        <v>327</v>
      </c>
      <c r="L61" s="2" t="s">
        <v>29</v>
      </c>
      <c r="M61" s="2"/>
      <c r="N61" s="2"/>
      <c r="O61" s="2"/>
      <c r="P61" s="2"/>
      <c r="Q61" s="2"/>
      <c r="R61" s="2"/>
    </row>
    <row r="62" spans="1:18">
      <c r="A62" s="2" t="s">
        <v>328</v>
      </c>
      <c r="B62" s="2" t="s">
        <v>329</v>
      </c>
      <c r="C62" s="2" t="s">
        <v>90</v>
      </c>
      <c r="D62" s="2" t="s">
        <v>90</v>
      </c>
      <c r="E62" s="2" t="s">
        <v>22</v>
      </c>
      <c r="F62" s="2" t="s">
        <v>39</v>
      </c>
      <c r="G62" s="2" t="s">
        <v>24</v>
      </c>
      <c r="H62" s="2" t="s">
        <v>25</v>
      </c>
      <c r="I62" s="2" t="s">
        <v>330</v>
      </c>
      <c r="J62" s="2" t="s">
        <v>34</v>
      </c>
      <c r="K62" s="2" t="s">
        <v>331</v>
      </c>
      <c r="L62" s="2" t="s">
        <v>29</v>
      </c>
      <c r="M62" s="2"/>
      <c r="N62" s="2"/>
      <c r="O62" s="2"/>
      <c r="P62" s="2"/>
      <c r="Q62" s="2"/>
      <c r="R62" s="2"/>
    </row>
    <row r="63" spans="1:18">
      <c r="A63" s="2" t="s">
        <v>332</v>
      </c>
      <c r="B63" s="2" t="s">
        <v>333</v>
      </c>
      <c r="C63" s="2" t="s">
        <v>90</v>
      </c>
      <c r="D63" s="2" t="s">
        <v>90</v>
      </c>
      <c r="E63" s="2" t="s">
        <v>22</v>
      </c>
      <c r="F63" s="2" t="s">
        <v>39</v>
      </c>
      <c r="G63" s="2" t="s">
        <v>24</v>
      </c>
      <c r="H63" s="2" t="s">
        <v>25</v>
      </c>
      <c r="I63" s="2" t="s">
        <v>334</v>
      </c>
      <c r="J63" s="2" t="s">
        <v>34</v>
      </c>
      <c r="K63" s="2" t="s">
        <v>335</v>
      </c>
      <c r="L63" s="2" t="s">
        <v>29</v>
      </c>
      <c r="M63" s="2"/>
      <c r="N63" s="2"/>
      <c r="O63" s="2"/>
      <c r="P63" s="2"/>
      <c r="Q63" s="2"/>
      <c r="R63" s="2"/>
    </row>
    <row r="64" spans="1:18">
      <c r="A64" s="2" t="s">
        <v>336</v>
      </c>
      <c r="B64" s="2" t="s">
        <v>337</v>
      </c>
      <c r="C64" s="2" t="s">
        <v>90</v>
      </c>
      <c r="D64" s="2" t="s">
        <v>95</v>
      </c>
      <c r="E64" s="2" t="s">
        <v>71</v>
      </c>
      <c r="F64" s="2" t="s">
        <v>23</v>
      </c>
      <c r="G64" s="2" t="s">
        <v>24</v>
      </c>
      <c r="H64" s="2" t="s">
        <v>84</v>
      </c>
      <c r="I64" s="2" t="s">
        <v>338</v>
      </c>
      <c r="J64" s="2" t="s">
        <v>34</v>
      </c>
      <c r="K64" s="2" t="s">
        <v>339</v>
      </c>
      <c r="L64" s="2" t="s">
        <v>29</v>
      </c>
      <c r="M64" s="2"/>
      <c r="N64" s="2"/>
      <c r="O64" s="2"/>
      <c r="P64" s="2"/>
      <c r="Q64" s="2"/>
      <c r="R64" s="2"/>
    </row>
    <row r="65" spans="1:18">
      <c r="A65" s="2" t="s">
        <v>340</v>
      </c>
      <c r="B65" s="2" t="s">
        <v>341</v>
      </c>
      <c r="C65" s="2" t="s">
        <v>90</v>
      </c>
      <c r="D65" s="2" t="s">
        <v>90</v>
      </c>
      <c r="E65" s="2" t="s">
        <v>47</v>
      </c>
      <c r="F65" s="2" t="s">
        <v>39</v>
      </c>
      <c r="G65" s="2" t="s">
        <v>48</v>
      </c>
      <c r="H65" s="2" t="s">
        <v>49</v>
      </c>
      <c r="I65" s="2" t="s">
        <v>342</v>
      </c>
      <c r="J65" s="2" t="s">
        <v>27</v>
      </c>
      <c r="K65" s="2" t="s">
        <v>343</v>
      </c>
      <c r="L65" s="2" t="s">
        <v>29</v>
      </c>
      <c r="M65" s="2"/>
      <c r="N65" s="2"/>
      <c r="O65" s="2"/>
      <c r="P65" s="2"/>
      <c r="Q65" s="2"/>
      <c r="R65" s="2"/>
    </row>
    <row r="66" spans="1:18">
      <c r="A66" s="2" t="s">
        <v>344</v>
      </c>
      <c r="B66" s="2" t="s">
        <v>345</v>
      </c>
      <c r="C66" s="2" t="s">
        <v>54</v>
      </c>
      <c r="D66" s="2" t="s">
        <v>54</v>
      </c>
      <c r="E66" s="2" t="s">
        <v>47</v>
      </c>
      <c r="F66" s="2" t="s">
        <v>39</v>
      </c>
      <c r="G66" s="2" t="s">
        <v>48</v>
      </c>
      <c r="H66" s="2" t="s">
        <v>55</v>
      </c>
      <c r="I66" s="2" t="s">
        <v>346</v>
      </c>
      <c r="J66" s="2" t="s">
        <v>27</v>
      </c>
      <c r="K66" s="2" t="s">
        <v>347</v>
      </c>
      <c r="L66" s="2" t="s">
        <v>29</v>
      </c>
      <c r="M66" s="2"/>
      <c r="N66" s="2"/>
      <c r="O66" s="2"/>
      <c r="P66" s="2"/>
      <c r="Q66" s="2"/>
      <c r="R66" s="2"/>
    </row>
    <row r="67" spans="1:18">
      <c r="A67" s="2" t="s">
        <v>348</v>
      </c>
      <c r="B67" s="2" t="s">
        <v>349</v>
      </c>
      <c r="C67" s="2" t="s">
        <v>54</v>
      </c>
      <c r="D67" s="2" t="s">
        <v>54</v>
      </c>
      <c r="E67" s="2" t="s">
        <v>47</v>
      </c>
      <c r="F67" s="2" t="s">
        <v>39</v>
      </c>
      <c r="G67" s="2" t="s">
        <v>48</v>
      </c>
      <c r="H67" s="2" t="s">
        <v>55</v>
      </c>
      <c r="I67" s="2" t="s">
        <v>350</v>
      </c>
      <c r="J67" s="2" t="s">
        <v>27</v>
      </c>
      <c r="K67" s="2" t="s">
        <v>351</v>
      </c>
      <c r="L67" s="2" t="s">
        <v>29</v>
      </c>
      <c r="M67" s="2"/>
      <c r="N67" s="2"/>
      <c r="O67" s="2"/>
      <c r="P67" s="2"/>
      <c r="Q67" s="2"/>
      <c r="R67" s="2"/>
    </row>
    <row r="68" spans="1:18">
      <c r="A68" s="2" t="s">
        <v>352</v>
      </c>
      <c r="B68" s="2" t="s">
        <v>353</v>
      </c>
      <c r="C68" s="2" t="s">
        <v>54</v>
      </c>
      <c r="D68" s="2" t="s">
        <v>54</v>
      </c>
      <c r="E68" s="2" t="s">
        <v>47</v>
      </c>
      <c r="F68" s="2" t="s">
        <v>39</v>
      </c>
      <c r="G68" s="2" t="s">
        <v>48</v>
      </c>
      <c r="H68" s="2" t="s">
        <v>55</v>
      </c>
      <c r="I68" s="2" t="s">
        <v>354</v>
      </c>
      <c r="J68" s="2" t="s">
        <v>27</v>
      </c>
      <c r="K68" s="2" t="s">
        <v>355</v>
      </c>
      <c r="L68" s="2" t="s">
        <v>29</v>
      </c>
      <c r="M68" s="2"/>
      <c r="N68" s="2"/>
      <c r="O68" s="2"/>
      <c r="P68" s="2"/>
      <c r="Q68" s="2"/>
      <c r="R68" s="2"/>
    </row>
    <row r="69" spans="1:18">
      <c r="A69" s="2" t="s">
        <v>356</v>
      </c>
      <c r="B69" s="2" t="s">
        <v>357</v>
      </c>
      <c r="C69" s="2" t="s">
        <v>54</v>
      </c>
      <c r="D69" s="2" t="s">
        <v>54</v>
      </c>
      <c r="E69" s="2" t="s">
        <v>47</v>
      </c>
      <c r="F69" s="2" t="s">
        <v>39</v>
      </c>
      <c r="G69" s="2" t="s">
        <v>48</v>
      </c>
      <c r="H69" s="2" t="s">
        <v>55</v>
      </c>
      <c r="I69" s="2" t="s">
        <v>358</v>
      </c>
      <c r="J69" s="2" t="s">
        <v>27</v>
      </c>
      <c r="K69" s="2" t="s">
        <v>359</v>
      </c>
      <c r="L69" s="2" t="s">
        <v>29</v>
      </c>
      <c r="M69" s="2"/>
      <c r="N69" s="2"/>
      <c r="O69" s="2"/>
      <c r="P69" s="2"/>
      <c r="Q69" s="2"/>
      <c r="R69" s="2"/>
    </row>
    <row r="70" spans="1:18">
      <c r="A70" s="2" t="s">
        <v>360</v>
      </c>
      <c r="B70" s="2" t="s">
        <v>361</v>
      </c>
      <c r="C70" s="2" t="s">
        <v>54</v>
      </c>
      <c r="D70" s="2" t="s">
        <v>362</v>
      </c>
      <c r="E70" s="2" t="s">
        <v>22</v>
      </c>
      <c r="F70" s="2" t="s">
        <v>39</v>
      </c>
      <c r="G70" s="2" t="s">
        <v>24</v>
      </c>
      <c r="H70" s="2" t="s">
        <v>55</v>
      </c>
      <c r="I70" s="2" t="s">
        <v>363</v>
      </c>
      <c r="J70" s="2" t="s">
        <v>122</v>
      </c>
      <c r="K70" s="2" t="s">
        <v>364</v>
      </c>
      <c r="L70" s="2" t="s">
        <v>29</v>
      </c>
      <c r="M70" s="2"/>
      <c r="N70" s="2"/>
      <c r="O70" s="2"/>
      <c r="P70" s="2"/>
      <c r="Q70" s="2"/>
      <c r="R70" s="2"/>
    </row>
    <row r="71" spans="1:18">
      <c r="A71" s="2" t="s">
        <v>365</v>
      </c>
      <c r="B71" s="2" t="s">
        <v>366</v>
      </c>
      <c r="C71" s="2" t="s">
        <v>54</v>
      </c>
      <c r="D71" s="2" t="s">
        <v>367</v>
      </c>
      <c r="E71" s="2" t="s">
        <v>22</v>
      </c>
      <c r="F71" s="2" t="s">
        <v>39</v>
      </c>
      <c r="G71" s="2" t="s">
        <v>24</v>
      </c>
      <c r="H71" s="2" t="s">
        <v>55</v>
      </c>
      <c r="I71" s="2" t="s">
        <v>368</v>
      </c>
      <c r="J71" s="2" t="s">
        <v>42</v>
      </c>
      <c r="K71" s="2" t="s">
        <v>369</v>
      </c>
      <c r="L71" s="2" t="s">
        <v>29</v>
      </c>
      <c r="M71" s="2"/>
      <c r="N71" s="2"/>
      <c r="O71" s="2"/>
      <c r="P71" s="2"/>
      <c r="Q71" s="2"/>
      <c r="R71" s="2"/>
    </row>
    <row r="72" spans="1:18">
      <c r="A72" s="2" t="s">
        <v>370</v>
      </c>
      <c r="B72" s="2" t="s">
        <v>371</v>
      </c>
      <c r="C72" s="2" t="s">
        <v>119</v>
      </c>
      <c r="D72" s="2" t="s">
        <v>119</v>
      </c>
      <c r="E72" s="2" t="s">
        <v>22</v>
      </c>
      <c r="F72" s="2" t="s">
        <v>39</v>
      </c>
      <c r="G72" s="2" t="s">
        <v>24</v>
      </c>
      <c r="H72" s="2" t="s">
        <v>120</v>
      </c>
      <c r="I72" s="2" t="s">
        <v>372</v>
      </c>
      <c r="J72" s="2" t="s">
        <v>122</v>
      </c>
      <c r="K72" s="2" t="s">
        <v>373</v>
      </c>
      <c r="L72" s="2" t="s">
        <v>29</v>
      </c>
      <c r="M72" s="2"/>
      <c r="N72" s="2"/>
      <c r="O72" s="2"/>
      <c r="P72" s="2"/>
      <c r="Q72" s="2"/>
      <c r="R72" s="2"/>
    </row>
    <row r="73" spans="1:18">
      <c r="A73" s="2" t="s">
        <v>374</v>
      </c>
      <c r="B73" s="2" t="s">
        <v>375</v>
      </c>
      <c r="C73" s="2" t="s">
        <v>119</v>
      </c>
      <c r="D73" s="2" t="s">
        <v>119</v>
      </c>
      <c r="E73" s="2" t="s">
        <v>22</v>
      </c>
      <c r="F73" s="2" t="s">
        <v>39</v>
      </c>
      <c r="G73" s="2" t="s">
        <v>24</v>
      </c>
      <c r="H73" s="2" t="s">
        <v>120</v>
      </c>
      <c r="I73" s="2" t="s">
        <v>376</v>
      </c>
      <c r="J73" s="2" t="s">
        <v>122</v>
      </c>
      <c r="K73" s="2" t="s">
        <v>377</v>
      </c>
      <c r="L73" s="2" t="s">
        <v>29</v>
      </c>
      <c r="M73" s="2"/>
      <c r="N73" s="2"/>
      <c r="O73" s="2"/>
      <c r="P73" s="2"/>
      <c r="Q73" s="2"/>
      <c r="R73" s="2"/>
    </row>
    <row r="74" spans="1:18">
      <c r="A74" s="2" t="s">
        <v>378</v>
      </c>
      <c r="B74" s="2" t="s">
        <v>379</v>
      </c>
      <c r="C74" s="2" t="s">
        <v>119</v>
      </c>
      <c r="D74" s="2" t="s">
        <v>380</v>
      </c>
      <c r="E74" s="2" t="s">
        <v>22</v>
      </c>
      <c r="F74" s="2" t="s">
        <v>39</v>
      </c>
      <c r="G74" s="2" t="s">
        <v>24</v>
      </c>
      <c r="H74" s="2" t="s">
        <v>120</v>
      </c>
      <c r="I74" s="2" t="s">
        <v>381</v>
      </c>
      <c r="J74" s="2" t="s">
        <v>122</v>
      </c>
      <c r="K74" s="2" t="s">
        <v>382</v>
      </c>
      <c r="L74" s="2" t="s">
        <v>29</v>
      </c>
      <c r="M74" s="2"/>
      <c r="N74" s="2"/>
      <c r="O74" s="2"/>
      <c r="P74" s="2"/>
      <c r="Q74" s="2"/>
      <c r="R74" s="2"/>
    </row>
    <row r="75" spans="1:18">
      <c r="A75" s="2" t="s">
        <v>383</v>
      </c>
      <c r="B75" s="2" t="s">
        <v>384</v>
      </c>
      <c r="C75" s="2" t="s">
        <v>119</v>
      </c>
      <c r="D75" s="2" t="s">
        <v>119</v>
      </c>
      <c r="E75" s="2" t="s">
        <v>22</v>
      </c>
      <c r="F75" s="2" t="s">
        <v>39</v>
      </c>
      <c r="G75" s="2" t="s">
        <v>24</v>
      </c>
      <c r="H75" s="2" t="s">
        <v>120</v>
      </c>
      <c r="I75" s="2" t="s">
        <v>385</v>
      </c>
      <c r="J75" s="2" t="s">
        <v>122</v>
      </c>
      <c r="K75" s="2" t="s">
        <v>386</v>
      </c>
      <c r="L75" s="2" t="s">
        <v>29</v>
      </c>
      <c r="M75" s="2"/>
      <c r="N75" s="2"/>
      <c r="O75" s="2"/>
      <c r="P75" s="2"/>
      <c r="Q75" s="2"/>
      <c r="R75" s="2"/>
    </row>
    <row r="76" spans="1:18">
      <c r="A76" s="2" t="s">
        <v>387</v>
      </c>
      <c r="B76" s="2" t="s">
        <v>388</v>
      </c>
      <c r="C76" s="2" t="s">
        <v>119</v>
      </c>
      <c r="D76" s="2" t="s">
        <v>119</v>
      </c>
      <c r="E76" s="2" t="s">
        <v>22</v>
      </c>
      <c r="F76" s="2" t="s">
        <v>39</v>
      </c>
      <c r="G76" s="2" t="s">
        <v>24</v>
      </c>
      <c r="H76" s="2" t="s">
        <v>120</v>
      </c>
      <c r="I76" s="2" t="s">
        <v>389</v>
      </c>
      <c r="J76" s="2" t="s">
        <v>122</v>
      </c>
      <c r="K76" s="2" t="s">
        <v>390</v>
      </c>
      <c r="L76" s="2" t="s">
        <v>29</v>
      </c>
      <c r="M76" s="2"/>
      <c r="N76" s="2"/>
      <c r="O76" s="2"/>
      <c r="P76" s="2"/>
      <c r="Q76" s="2"/>
      <c r="R76" s="2"/>
    </row>
    <row r="77" spans="1:18">
      <c r="A77" s="2" t="s">
        <v>391</v>
      </c>
      <c r="B77" s="2" t="s">
        <v>392</v>
      </c>
      <c r="C77" s="2" t="s">
        <v>119</v>
      </c>
      <c r="D77" s="2" t="s">
        <v>393</v>
      </c>
      <c r="E77" s="2" t="s">
        <v>22</v>
      </c>
      <c r="F77" s="2" t="s">
        <v>39</v>
      </c>
      <c r="G77" s="2" t="s">
        <v>24</v>
      </c>
      <c r="H77" s="2" t="s">
        <v>120</v>
      </c>
      <c r="I77" s="2" t="s">
        <v>394</v>
      </c>
      <c r="J77" s="2" t="s">
        <v>122</v>
      </c>
      <c r="K77" s="2" t="s">
        <v>395</v>
      </c>
      <c r="L77" s="2" t="s">
        <v>29</v>
      </c>
      <c r="M77" s="2"/>
      <c r="N77" s="2"/>
      <c r="O77" s="2"/>
      <c r="P77" s="2"/>
      <c r="Q77" s="2"/>
      <c r="R77" s="2"/>
    </row>
    <row r="78" spans="1:18">
      <c r="A78" s="2" t="s">
        <v>396</v>
      </c>
      <c r="B78" s="2" t="s">
        <v>397</v>
      </c>
      <c r="C78" s="2" t="s">
        <v>46</v>
      </c>
      <c r="D78" s="2" t="s">
        <v>46</v>
      </c>
      <c r="E78" s="2" t="s">
        <v>141</v>
      </c>
      <c r="F78" s="2" t="s">
        <v>39</v>
      </c>
      <c r="G78" s="2" t="s">
        <v>142</v>
      </c>
      <c r="H78" s="2" t="s">
        <v>40</v>
      </c>
      <c r="I78" s="2" t="s">
        <v>398</v>
      </c>
      <c r="J78" s="2" t="s">
        <v>42</v>
      </c>
      <c r="K78" s="2" t="s">
        <v>399</v>
      </c>
      <c r="L78" s="2" t="s">
        <v>29</v>
      </c>
      <c r="M78" s="2"/>
      <c r="N78" s="2"/>
      <c r="O78" s="2"/>
      <c r="P78" s="2"/>
      <c r="Q78" s="2"/>
      <c r="R78" s="2"/>
    </row>
    <row r="79" spans="1:18">
      <c r="A79" s="2" t="s">
        <v>400</v>
      </c>
      <c r="B79" s="2" t="s">
        <v>401</v>
      </c>
      <c r="C79" s="2" t="s">
        <v>46</v>
      </c>
      <c r="D79" s="2" t="s">
        <v>46</v>
      </c>
      <c r="E79" s="2" t="s">
        <v>22</v>
      </c>
      <c r="F79" s="2" t="s">
        <v>23</v>
      </c>
      <c r="G79" s="2" t="s">
        <v>24</v>
      </c>
      <c r="H79" s="2" t="s">
        <v>40</v>
      </c>
      <c r="I79" s="2" t="s">
        <v>402</v>
      </c>
      <c r="J79" s="2" t="s">
        <v>42</v>
      </c>
      <c r="K79" s="2" t="s">
        <v>403</v>
      </c>
      <c r="L79" s="2" t="s">
        <v>29</v>
      </c>
      <c r="M79" s="2"/>
      <c r="N79" s="2"/>
      <c r="O79" s="2"/>
      <c r="P79" s="2"/>
      <c r="Q79" s="2"/>
      <c r="R79" s="2"/>
    </row>
    <row r="80" spans="1:18">
      <c r="A80" s="2" t="s">
        <v>404</v>
      </c>
      <c r="B80" s="2" t="s">
        <v>405</v>
      </c>
      <c r="C80" s="2" t="s">
        <v>46</v>
      </c>
      <c r="D80" s="2" t="s">
        <v>46</v>
      </c>
      <c r="E80" s="2" t="s">
        <v>22</v>
      </c>
      <c r="F80" s="2" t="s">
        <v>23</v>
      </c>
      <c r="G80" s="2" t="s">
        <v>24</v>
      </c>
      <c r="H80" s="2" t="s">
        <v>40</v>
      </c>
      <c r="I80" s="2" t="s">
        <v>406</v>
      </c>
      <c r="J80" s="2" t="s">
        <v>42</v>
      </c>
      <c r="K80" s="2" t="s">
        <v>407</v>
      </c>
      <c r="L80" s="2" t="s">
        <v>29</v>
      </c>
      <c r="M80" s="2"/>
      <c r="N80" s="2"/>
      <c r="O80" s="2"/>
      <c r="P80" s="2"/>
      <c r="Q80" s="2"/>
      <c r="R80" s="2"/>
    </row>
    <row r="81" spans="1:18">
      <c r="A81" s="2" t="s">
        <v>408</v>
      </c>
      <c r="B81" s="2" t="s">
        <v>409</v>
      </c>
      <c r="C81" s="2" t="s">
        <v>46</v>
      </c>
      <c r="D81" s="2" t="s">
        <v>176</v>
      </c>
      <c r="E81" s="2" t="s">
        <v>22</v>
      </c>
      <c r="F81" s="2" t="s">
        <v>39</v>
      </c>
      <c r="G81" s="2" t="s">
        <v>24</v>
      </c>
      <c r="H81" s="2" t="s">
        <v>40</v>
      </c>
      <c r="I81" s="2" t="s">
        <v>410</v>
      </c>
      <c r="J81" s="2" t="s">
        <v>42</v>
      </c>
      <c r="K81" s="2" t="s">
        <v>411</v>
      </c>
      <c r="L81" s="2" t="s">
        <v>29</v>
      </c>
      <c r="M81" s="2"/>
      <c r="N81" s="2"/>
      <c r="O81" s="2"/>
      <c r="P81" s="2"/>
      <c r="Q81" s="2"/>
      <c r="R81" s="2"/>
    </row>
    <row r="82" spans="1:18">
      <c r="A82" s="2" t="s">
        <v>412</v>
      </c>
      <c r="B82" s="2" t="s">
        <v>413</v>
      </c>
      <c r="C82" s="2" t="s">
        <v>46</v>
      </c>
      <c r="D82" s="2" t="s">
        <v>176</v>
      </c>
      <c r="E82" s="2" t="s">
        <v>22</v>
      </c>
      <c r="F82" s="2" t="s">
        <v>39</v>
      </c>
      <c r="G82" s="2" t="s">
        <v>24</v>
      </c>
      <c r="H82" s="2" t="s">
        <v>40</v>
      </c>
      <c r="I82" s="2" t="s">
        <v>414</v>
      </c>
      <c r="J82" s="2" t="s">
        <v>42</v>
      </c>
      <c r="K82" s="2" t="s">
        <v>415</v>
      </c>
      <c r="L82" s="2" t="s">
        <v>29</v>
      </c>
      <c r="M82" s="2"/>
      <c r="N82" s="2"/>
      <c r="O82" s="2"/>
      <c r="P82" s="2"/>
      <c r="Q82" s="2"/>
      <c r="R82" s="2"/>
    </row>
    <row r="83" spans="1:18">
      <c r="A83" s="2" t="s">
        <v>416</v>
      </c>
      <c r="B83" s="2" t="s">
        <v>417</v>
      </c>
      <c r="C83" s="2" t="s">
        <v>64</v>
      </c>
      <c r="D83" s="2" t="s">
        <v>64</v>
      </c>
      <c r="E83" s="2" t="s">
        <v>22</v>
      </c>
      <c r="F83" s="2" t="s">
        <v>39</v>
      </c>
      <c r="G83" s="2" t="s">
        <v>24</v>
      </c>
      <c r="H83" s="2" t="s">
        <v>65</v>
      </c>
      <c r="I83" s="2" t="s">
        <v>418</v>
      </c>
      <c r="J83" s="2" t="s">
        <v>34</v>
      </c>
      <c r="K83" s="2" t="s">
        <v>419</v>
      </c>
      <c r="L83" s="2" t="s">
        <v>29</v>
      </c>
      <c r="M83" s="2"/>
      <c r="N83" s="2"/>
      <c r="O83" s="2"/>
      <c r="P83" s="2"/>
      <c r="Q83" s="2"/>
      <c r="R83" s="2"/>
    </row>
    <row r="84" spans="1:18">
      <c r="A84" s="2" t="s">
        <v>420</v>
      </c>
      <c r="B84" s="2" t="s">
        <v>421</v>
      </c>
      <c r="C84" s="2" t="s">
        <v>64</v>
      </c>
      <c r="D84" s="2" t="s">
        <v>64</v>
      </c>
      <c r="E84" s="2" t="s">
        <v>22</v>
      </c>
      <c r="F84" s="2" t="s">
        <v>39</v>
      </c>
      <c r="G84" s="2" t="s">
        <v>24</v>
      </c>
      <c r="H84" s="2" t="s">
        <v>65</v>
      </c>
      <c r="I84" s="2" t="s">
        <v>422</v>
      </c>
      <c r="J84" s="2" t="s">
        <v>34</v>
      </c>
      <c r="K84" s="2" t="s">
        <v>423</v>
      </c>
      <c r="L84" s="2" t="s">
        <v>29</v>
      </c>
      <c r="M84" s="2"/>
      <c r="N84" s="2"/>
      <c r="O84" s="2"/>
      <c r="P84" s="2"/>
      <c r="Q84" s="2"/>
      <c r="R84" s="2"/>
    </row>
    <row r="85" spans="1:18">
      <c r="A85" s="2" t="s">
        <v>424</v>
      </c>
      <c r="B85" s="2" t="s">
        <v>425</v>
      </c>
      <c r="C85" s="2" t="s">
        <v>64</v>
      </c>
      <c r="D85" s="2" t="s">
        <v>64</v>
      </c>
      <c r="E85" s="2" t="s">
        <v>71</v>
      </c>
      <c r="F85" s="2" t="s">
        <v>39</v>
      </c>
      <c r="G85" s="2" t="s">
        <v>24</v>
      </c>
      <c r="H85" s="2" t="s">
        <v>65</v>
      </c>
      <c r="I85" s="2" t="s">
        <v>426</v>
      </c>
      <c r="J85" s="2" t="s">
        <v>34</v>
      </c>
      <c r="K85" s="2" t="s">
        <v>427</v>
      </c>
      <c r="L85" s="2" t="s">
        <v>29</v>
      </c>
      <c r="M85" s="2"/>
      <c r="N85" s="2"/>
      <c r="O85" s="2"/>
      <c r="P85" s="2"/>
      <c r="Q85" s="2"/>
      <c r="R85" s="2"/>
    </row>
    <row r="86" spans="1:18">
      <c r="A86" s="2" t="s">
        <v>428</v>
      </c>
      <c r="B86" s="2" t="s">
        <v>429</v>
      </c>
      <c r="C86" s="2" t="s">
        <v>64</v>
      </c>
      <c r="D86" s="2" t="s">
        <v>64</v>
      </c>
      <c r="E86" s="2" t="s">
        <v>71</v>
      </c>
      <c r="F86" s="2" t="s">
        <v>39</v>
      </c>
      <c r="G86" s="2" t="s">
        <v>24</v>
      </c>
      <c r="H86" s="2" t="s">
        <v>65</v>
      </c>
      <c r="I86" s="2" t="s">
        <v>430</v>
      </c>
      <c r="J86" s="2" t="s">
        <v>34</v>
      </c>
      <c r="K86" s="2" t="s">
        <v>431</v>
      </c>
      <c r="L86" s="2" t="s">
        <v>29</v>
      </c>
      <c r="M86" s="2"/>
      <c r="N86" s="2"/>
      <c r="O86" s="2"/>
      <c r="P86" s="2"/>
      <c r="Q86" s="2"/>
      <c r="R86" s="2"/>
    </row>
    <row r="87" spans="1:18">
      <c r="A87" s="2" t="s">
        <v>432</v>
      </c>
      <c r="B87" s="2" t="s">
        <v>433</v>
      </c>
      <c r="C87" s="2" t="s">
        <v>64</v>
      </c>
      <c r="D87" s="2" t="s">
        <v>64</v>
      </c>
      <c r="E87" s="2" t="s">
        <v>71</v>
      </c>
      <c r="F87" s="2" t="s">
        <v>23</v>
      </c>
      <c r="G87" s="2" t="s">
        <v>24</v>
      </c>
      <c r="H87" s="2" t="s">
        <v>65</v>
      </c>
      <c r="I87" s="2" t="s">
        <v>434</v>
      </c>
      <c r="J87" s="2" t="s">
        <v>34</v>
      </c>
      <c r="K87" s="2" t="s">
        <v>435</v>
      </c>
      <c r="L87" s="2" t="s">
        <v>29</v>
      </c>
      <c r="M87" s="2"/>
      <c r="N87" s="2"/>
      <c r="O87" s="2"/>
      <c r="P87" s="2"/>
      <c r="Q87" s="2"/>
      <c r="R87" s="2"/>
    </row>
    <row r="88" spans="1:18">
      <c r="A88" s="2" t="s">
        <v>436</v>
      </c>
      <c r="B88" s="2" t="s">
        <v>437</v>
      </c>
      <c r="C88" s="2" t="s">
        <v>64</v>
      </c>
      <c r="D88" s="2" t="s">
        <v>64</v>
      </c>
      <c r="E88" s="2" t="s">
        <v>22</v>
      </c>
      <c r="F88" s="2" t="s">
        <v>438</v>
      </c>
      <c r="G88" s="2" t="s">
        <v>24</v>
      </c>
      <c r="H88" s="2" t="s">
        <v>65</v>
      </c>
      <c r="I88" s="2" t="s">
        <v>439</v>
      </c>
      <c r="J88" s="2" t="s">
        <v>34</v>
      </c>
      <c r="K88" s="2" t="s">
        <v>440</v>
      </c>
      <c r="L88" s="2" t="s">
        <v>29</v>
      </c>
      <c r="M88" s="2"/>
      <c r="N88" s="2"/>
      <c r="O88" s="2"/>
      <c r="P88" s="2"/>
      <c r="Q88" s="2"/>
      <c r="R88" s="2"/>
    </row>
    <row r="89" spans="1:18">
      <c r="A89" s="2" t="s">
        <v>441</v>
      </c>
      <c r="B89" s="2" t="s">
        <v>442</v>
      </c>
      <c r="C89" s="2" t="s">
        <v>83</v>
      </c>
      <c r="D89" s="2" t="s">
        <v>83</v>
      </c>
      <c r="E89" s="2" t="s">
        <v>22</v>
      </c>
      <c r="F89" s="2" t="s">
        <v>39</v>
      </c>
      <c r="G89" s="2" t="s">
        <v>24</v>
      </c>
      <c r="H89" s="2" t="s">
        <v>84</v>
      </c>
      <c r="I89" s="2" t="s">
        <v>443</v>
      </c>
      <c r="J89" s="2" t="s">
        <v>34</v>
      </c>
      <c r="K89" s="2" t="s">
        <v>444</v>
      </c>
      <c r="L89" s="2" t="s">
        <v>29</v>
      </c>
      <c r="M89" s="2"/>
      <c r="N89" s="2"/>
      <c r="O89" s="2"/>
      <c r="P89" s="2"/>
      <c r="Q89" s="2"/>
      <c r="R89" s="2"/>
    </row>
    <row r="90" spans="1:18">
      <c r="A90" s="2" t="s">
        <v>445</v>
      </c>
      <c r="B90" s="2" t="s">
        <v>446</v>
      </c>
      <c r="C90" s="2" t="s">
        <v>83</v>
      </c>
      <c r="D90" s="2" t="s">
        <v>95</v>
      </c>
      <c r="E90" s="2" t="s">
        <v>71</v>
      </c>
      <c r="F90" s="2" t="s">
        <v>39</v>
      </c>
      <c r="G90" s="2" t="s">
        <v>24</v>
      </c>
      <c r="H90" s="2" t="s">
        <v>84</v>
      </c>
      <c r="I90" s="2" t="s">
        <v>447</v>
      </c>
      <c r="J90" s="2" t="s">
        <v>34</v>
      </c>
      <c r="K90" s="2" t="s">
        <v>448</v>
      </c>
      <c r="L90" s="2" t="s">
        <v>29</v>
      </c>
      <c r="M90" s="2"/>
      <c r="N90" s="2"/>
      <c r="O90" s="2"/>
      <c r="P90" s="2"/>
      <c r="Q90" s="2"/>
      <c r="R90" s="2"/>
    </row>
    <row r="91" spans="1:18">
      <c r="A91" s="2" t="s">
        <v>449</v>
      </c>
      <c r="B91" s="2" t="s">
        <v>450</v>
      </c>
      <c r="C91" s="2" t="s">
        <v>83</v>
      </c>
      <c r="D91" s="2" t="s">
        <v>95</v>
      </c>
      <c r="E91" s="2" t="s">
        <v>71</v>
      </c>
      <c r="F91" s="2" t="s">
        <v>39</v>
      </c>
      <c r="G91" s="2" t="s">
        <v>24</v>
      </c>
      <c r="H91" s="2" t="s">
        <v>84</v>
      </c>
      <c r="I91" s="2" t="s">
        <v>451</v>
      </c>
      <c r="J91" s="2" t="s">
        <v>34</v>
      </c>
      <c r="K91" s="2" t="s">
        <v>452</v>
      </c>
      <c r="L91" s="2" t="s">
        <v>29</v>
      </c>
      <c r="M91" s="2"/>
      <c r="N91" s="2"/>
      <c r="O91" s="2"/>
      <c r="P91" s="2"/>
      <c r="Q91" s="2"/>
      <c r="R91" s="2"/>
    </row>
    <row r="92" spans="1:18">
      <c r="A92" s="2" t="s">
        <v>453</v>
      </c>
      <c r="B92" s="2" t="s">
        <v>454</v>
      </c>
      <c r="C92" s="2" t="s">
        <v>83</v>
      </c>
      <c r="D92" s="2" t="s">
        <v>95</v>
      </c>
      <c r="E92" s="2" t="s">
        <v>71</v>
      </c>
      <c r="F92" s="2" t="s">
        <v>39</v>
      </c>
      <c r="G92" s="2" t="s">
        <v>24</v>
      </c>
      <c r="H92" s="2" t="s">
        <v>84</v>
      </c>
      <c r="I92" s="2" t="s">
        <v>455</v>
      </c>
      <c r="J92" s="2" t="s">
        <v>34</v>
      </c>
      <c r="K92" s="2" t="s">
        <v>456</v>
      </c>
      <c r="L92" s="2" t="s">
        <v>29</v>
      </c>
      <c r="M92" s="2"/>
      <c r="N92" s="2"/>
      <c r="O92" s="2"/>
      <c r="P92" s="2"/>
      <c r="Q92" s="2"/>
      <c r="R92" s="2"/>
    </row>
    <row r="93" spans="1:18">
      <c r="A93" s="2" t="s">
        <v>457</v>
      </c>
      <c r="B93" s="2" t="s">
        <v>458</v>
      </c>
      <c r="C93" s="2" t="s">
        <v>83</v>
      </c>
      <c r="D93" s="2" t="s">
        <v>459</v>
      </c>
      <c r="E93" s="2" t="s">
        <v>22</v>
      </c>
      <c r="F93" s="2" t="s">
        <v>39</v>
      </c>
      <c r="G93" s="2" t="s">
        <v>24</v>
      </c>
      <c r="H93" s="2" t="s">
        <v>84</v>
      </c>
      <c r="I93" s="2" t="s">
        <v>460</v>
      </c>
      <c r="J93" s="2" t="s">
        <v>42</v>
      </c>
      <c r="K93" s="2" t="s">
        <v>461</v>
      </c>
      <c r="L93" s="2" t="s">
        <v>29</v>
      </c>
      <c r="M93" s="2"/>
      <c r="N93" s="2"/>
      <c r="O93" s="2"/>
      <c r="P93" s="2"/>
      <c r="Q93" s="2"/>
      <c r="R93" s="2"/>
    </row>
    <row r="94" spans="1:18">
      <c r="A94" s="2" t="s">
        <v>462</v>
      </c>
      <c r="B94" s="2" t="s">
        <v>463</v>
      </c>
      <c r="C94" s="2" t="s">
        <v>83</v>
      </c>
      <c r="D94" s="2" t="s">
        <v>95</v>
      </c>
      <c r="E94" s="2" t="s">
        <v>22</v>
      </c>
      <c r="F94" s="2" t="s">
        <v>23</v>
      </c>
      <c r="G94" s="2" t="s">
        <v>24</v>
      </c>
      <c r="H94" s="2" t="s">
        <v>84</v>
      </c>
      <c r="I94" s="2" t="s">
        <v>464</v>
      </c>
      <c r="J94" s="2" t="s">
        <v>34</v>
      </c>
      <c r="K94" s="2" t="s">
        <v>465</v>
      </c>
      <c r="L94" s="2" t="s">
        <v>29</v>
      </c>
      <c r="M94" s="2"/>
      <c r="N94" s="2"/>
      <c r="O94" s="2"/>
      <c r="P94" s="2"/>
      <c r="Q94" s="2"/>
      <c r="R94" s="2"/>
    </row>
    <row r="95" spans="1:18">
      <c r="A95" s="2" t="s">
        <v>466</v>
      </c>
      <c r="B95" s="2" t="s">
        <v>467</v>
      </c>
      <c r="C95" s="2" t="s">
        <v>258</v>
      </c>
      <c r="D95" s="2" t="s">
        <v>258</v>
      </c>
      <c r="E95" s="2" t="s">
        <v>141</v>
      </c>
      <c r="F95" s="2" t="s">
        <v>39</v>
      </c>
      <c r="G95" s="2" t="s">
        <v>142</v>
      </c>
      <c r="H95" s="2" t="s">
        <v>259</v>
      </c>
      <c r="I95" s="2" t="s">
        <v>468</v>
      </c>
      <c r="J95" s="2" t="s">
        <v>75</v>
      </c>
      <c r="K95" s="2" t="s">
        <v>469</v>
      </c>
      <c r="L95" s="2" t="s">
        <v>29</v>
      </c>
      <c r="M95" s="2"/>
      <c r="N95" s="2"/>
      <c r="O95" s="2"/>
      <c r="P95" s="2"/>
      <c r="Q95" s="2"/>
      <c r="R95" s="2"/>
    </row>
    <row r="96" spans="1:18">
      <c r="A96" s="2" t="s">
        <v>470</v>
      </c>
      <c r="B96" s="2" t="s">
        <v>471</v>
      </c>
      <c r="C96" s="2" t="s">
        <v>258</v>
      </c>
      <c r="D96" s="2" t="s">
        <v>258</v>
      </c>
      <c r="E96" s="2" t="s">
        <v>141</v>
      </c>
      <c r="F96" s="2" t="s">
        <v>39</v>
      </c>
      <c r="G96" s="2" t="s">
        <v>142</v>
      </c>
      <c r="H96" s="2" t="s">
        <v>259</v>
      </c>
      <c r="I96" s="2" t="s">
        <v>472</v>
      </c>
      <c r="J96" s="2" t="s">
        <v>75</v>
      </c>
      <c r="K96" s="2" t="s">
        <v>473</v>
      </c>
      <c r="L96" s="2" t="s">
        <v>29</v>
      </c>
      <c r="M96" s="2"/>
      <c r="N96" s="2"/>
      <c r="O96" s="2"/>
      <c r="P96" s="2"/>
      <c r="Q96" s="2"/>
      <c r="R96" s="2"/>
    </row>
    <row r="97" spans="1:18">
      <c r="A97" s="2" t="s">
        <v>474</v>
      </c>
      <c r="B97" s="2" t="s">
        <v>475</v>
      </c>
      <c r="C97" s="2" t="s">
        <v>258</v>
      </c>
      <c r="D97" s="2" t="s">
        <v>258</v>
      </c>
      <c r="E97" s="2" t="s">
        <v>141</v>
      </c>
      <c r="F97" s="2" t="s">
        <v>39</v>
      </c>
      <c r="G97" s="2" t="s">
        <v>142</v>
      </c>
      <c r="H97" s="2" t="s">
        <v>259</v>
      </c>
      <c r="I97" s="2" t="s">
        <v>476</v>
      </c>
      <c r="J97" s="2" t="s">
        <v>75</v>
      </c>
      <c r="K97" s="2" t="s">
        <v>477</v>
      </c>
      <c r="L97" s="2" t="s">
        <v>29</v>
      </c>
      <c r="M97" s="2"/>
      <c r="N97" s="2"/>
      <c r="O97" s="2"/>
      <c r="P97" s="2"/>
      <c r="Q97" s="2"/>
      <c r="R97" s="2"/>
    </row>
    <row r="98" spans="1:18">
      <c r="A98" s="2" t="s">
        <v>478</v>
      </c>
      <c r="B98" s="2" t="s">
        <v>479</v>
      </c>
      <c r="C98" s="2" t="s">
        <v>258</v>
      </c>
      <c r="D98" s="2" t="s">
        <v>480</v>
      </c>
      <c r="E98" s="2" t="s">
        <v>22</v>
      </c>
      <c r="F98" s="2" t="s">
        <v>39</v>
      </c>
      <c r="G98" s="2" t="s">
        <v>24</v>
      </c>
      <c r="H98" s="2" t="s">
        <v>259</v>
      </c>
      <c r="I98" s="2" t="s">
        <v>481</v>
      </c>
      <c r="J98" s="2" t="s">
        <v>34</v>
      </c>
      <c r="K98" s="2" t="s">
        <v>482</v>
      </c>
      <c r="L98" s="2" t="s">
        <v>29</v>
      </c>
      <c r="M98" s="2"/>
      <c r="N98" s="2"/>
      <c r="O98" s="2"/>
      <c r="P98" s="2"/>
      <c r="Q98" s="2"/>
      <c r="R98" s="2"/>
    </row>
    <row r="99" spans="1:18">
      <c r="A99" s="2" t="s">
        <v>483</v>
      </c>
      <c r="B99" s="2" t="s">
        <v>484</v>
      </c>
      <c r="C99" s="2" t="s">
        <v>258</v>
      </c>
      <c r="D99" s="2" t="s">
        <v>485</v>
      </c>
      <c r="E99" s="2" t="s">
        <v>47</v>
      </c>
      <c r="F99" s="2" t="s">
        <v>39</v>
      </c>
      <c r="G99" s="2" t="s">
        <v>48</v>
      </c>
      <c r="H99" s="2" t="s">
        <v>259</v>
      </c>
      <c r="I99" s="2" t="s">
        <v>486</v>
      </c>
      <c r="J99" s="2" t="s">
        <v>27</v>
      </c>
      <c r="K99" s="2" t="s">
        <v>487</v>
      </c>
      <c r="L99" s="2" t="s">
        <v>29</v>
      </c>
      <c r="M99" s="2"/>
      <c r="N99" s="2"/>
      <c r="O99" s="2"/>
      <c r="P99" s="2"/>
      <c r="Q99" s="2"/>
      <c r="R99" s="2"/>
    </row>
    <row r="100" spans="1:18">
      <c r="A100" s="2" t="s">
        <v>488</v>
      </c>
      <c r="B100" s="2" t="s">
        <v>489</v>
      </c>
      <c r="C100" s="2" t="s">
        <v>258</v>
      </c>
      <c r="D100" s="2" t="s">
        <v>490</v>
      </c>
      <c r="E100" s="2" t="s">
        <v>71</v>
      </c>
      <c r="F100" s="2" t="s">
        <v>72</v>
      </c>
      <c r="G100" s="2" t="s">
        <v>491</v>
      </c>
      <c r="H100" s="2" t="s">
        <v>259</v>
      </c>
      <c r="I100" s="2" t="s">
        <v>492</v>
      </c>
      <c r="J100" s="2" t="s">
        <v>75</v>
      </c>
      <c r="K100" s="2" t="s">
        <v>493</v>
      </c>
      <c r="L100" s="2" t="s">
        <v>29</v>
      </c>
      <c r="M100" s="2"/>
      <c r="N100" s="2"/>
      <c r="O100" s="2"/>
      <c r="P100" s="2"/>
      <c r="Q100" s="2"/>
      <c r="R100" s="2"/>
    </row>
    <row r="101" spans="1:18">
      <c r="A101" s="2" t="s">
        <v>494</v>
      </c>
      <c r="B101" s="2" t="s">
        <v>495</v>
      </c>
      <c r="C101" s="2" t="s">
        <v>109</v>
      </c>
      <c r="D101" s="2" t="s">
        <v>109</v>
      </c>
      <c r="E101" s="2" t="s">
        <v>71</v>
      </c>
      <c r="F101" s="2" t="s">
        <v>23</v>
      </c>
      <c r="G101" s="2" t="s">
        <v>24</v>
      </c>
      <c r="H101" s="2" t="s">
        <v>84</v>
      </c>
      <c r="I101" s="2" t="s">
        <v>496</v>
      </c>
      <c r="J101" s="2" t="s">
        <v>34</v>
      </c>
      <c r="K101" s="2" t="s">
        <v>497</v>
      </c>
      <c r="L101" s="2" t="s">
        <v>29</v>
      </c>
      <c r="M101" s="2"/>
      <c r="N101" s="2"/>
      <c r="O101" s="2"/>
      <c r="P101" s="2"/>
      <c r="Q101" s="2"/>
      <c r="R101" s="2"/>
    </row>
    <row r="102" spans="1:18">
      <c r="A102" s="2" t="s">
        <v>498</v>
      </c>
      <c r="B102" s="2" t="s">
        <v>499</v>
      </c>
      <c r="C102" s="2" t="s">
        <v>109</v>
      </c>
      <c r="D102" s="2" t="s">
        <v>109</v>
      </c>
      <c r="E102" s="2" t="s">
        <v>71</v>
      </c>
      <c r="F102" s="2" t="s">
        <v>39</v>
      </c>
      <c r="G102" s="2" t="s">
        <v>24</v>
      </c>
      <c r="H102" s="2" t="s">
        <v>84</v>
      </c>
      <c r="I102" s="2" t="s">
        <v>500</v>
      </c>
      <c r="J102" s="2" t="s">
        <v>34</v>
      </c>
      <c r="K102" s="2" t="s">
        <v>501</v>
      </c>
      <c r="L102" s="2" t="s">
        <v>29</v>
      </c>
      <c r="M102" s="2"/>
      <c r="N102" s="2"/>
      <c r="O102" s="2"/>
      <c r="P102" s="2"/>
      <c r="Q102" s="2"/>
      <c r="R102" s="2"/>
    </row>
    <row r="103" spans="1:18">
      <c r="A103" s="2" t="s">
        <v>502</v>
      </c>
      <c r="B103" s="2" t="s">
        <v>503</v>
      </c>
      <c r="C103" s="2" t="s">
        <v>109</v>
      </c>
      <c r="D103" s="2" t="s">
        <v>109</v>
      </c>
      <c r="E103" s="2" t="s">
        <v>71</v>
      </c>
      <c r="F103" s="2" t="s">
        <v>39</v>
      </c>
      <c r="G103" s="2" t="s">
        <v>24</v>
      </c>
      <c r="H103" s="2" t="s">
        <v>84</v>
      </c>
      <c r="I103" s="2" t="s">
        <v>504</v>
      </c>
      <c r="J103" s="2" t="s">
        <v>122</v>
      </c>
      <c r="K103" s="2" t="s">
        <v>505</v>
      </c>
      <c r="L103" s="2" t="s">
        <v>29</v>
      </c>
      <c r="M103" s="2"/>
      <c r="N103" s="2"/>
      <c r="O103" s="2"/>
      <c r="P103" s="2"/>
      <c r="Q103" s="2"/>
      <c r="R103" s="2"/>
    </row>
    <row r="104" spans="1:18">
      <c r="A104" s="2" t="s">
        <v>506</v>
      </c>
      <c r="B104" s="2" t="s">
        <v>507</v>
      </c>
      <c r="C104" s="2" t="s">
        <v>109</v>
      </c>
      <c r="D104" s="2" t="s">
        <v>109</v>
      </c>
      <c r="E104" s="2" t="s">
        <v>71</v>
      </c>
      <c r="F104" s="2" t="s">
        <v>39</v>
      </c>
      <c r="G104" s="2" t="s">
        <v>24</v>
      </c>
      <c r="H104" s="2" t="s">
        <v>84</v>
      </c>
      <c r="I104" s="2" t="s">
        <v>508</v>
      </c>
      <c r="J104" s="2" t="s">
        <v>122</v>
      </c>
      <c r="K104" s="2" t="s">
        <v>509</v>
      </c>
      <c r="L104" s="2" t="s">
        <v>29</v>
      </c>
      <c r="M104" s="2"/>
      <c r="N104" s="2"/>
      <c r="O104" s="2"/>
      <c r="P104" s="2"/>
      <c r="Q104" s="2"/>
      <c r="R104" s="2"/>
    </row>
    <row r="105" spans="1:18">
      <c r="A105" s="2" t="s">
        <v>510</v>
      </c>
      <c r="B105" s="2" t="s">
        <v>511</v>
      </c>
      <c r="C105" s="2" t="s">
        <v>109</v>
      </c>
      <c r="D105" s="2" t="s">
        <v>109</v>
      </c>
      <c r="E105" s="2" t="s">
        <v>71</v>
      </c>
      <c r="F105" s="2" t="s">
        <v>39</v>
      </c>
      <c r="G105" s="2" t="s">
        <v>24</v>
      </c>
      <c r="H105" s="2" t="s">
        <v>84</v>
      </c>
      <c r="I105" s="2" t="s">
        <v>512</v>
      </c>
      <c r="J105" s="2" t="s">
        <v>122</v>
      </c>
      <c r="K105" s="2" t="s">
        <v>513</v>
      </c>
      <c r="L105" s="2" t="s">
        <v>29</v>
      </c>
      <c r="M105" s="2"/>
      <c r="N105" s="2"/>
      <c r="O105" s="2"/>
      <c r="P105" s="2"/>
      <c r="Q105" s="2"/>
      <c r="R105" s="2"/>
    </row>
    <row r="106" spans="1:18">
      <c r="A106" s="2" t="s">
        <v>514</v>
      </c>
      <c r="B106" s="2" t="s">
        <v>515</v>
      </c>
      <c r="C106" s="2" t="s">
        <v>109</v>
      </c>
      <c r="D106" s="2" t="s">
        <v>273</v>
      </c>
      <c r="E106" s="2" t="s">
        <v>71</v>
      </c>
      <c r="F106" s="2" t="s">
        <v>39</v>
      </c>
      <c r="G106" s="2" t="s">
        <v>24</v>
      </c>
      <c r="H106" s="2" t="s">
        <v>84</v>
      </c>
      <c r="I106" s="2" t="s">
        <v>516</v>
      </c>
      <c r="J106" s="2" t="s">
        <v>34</v>
      </c>
      <c r="K106" s="2" t="s">
        <v>517</v>
      </c>
      <c r="L106" s="2" t="s">
        <v>29</v>
      </c>
      <c r="M106" s="2"/>
      <c r="N106" s="2"/>
      <c r="O106" s="2"/>
      <c r="P106" s="2"/>
      <c r="Q106" s="2"/>
      <c r="R106" s="2"/>
    </row>
    <row r="107" spans="1:18">
      <c r="A107" s="2" t="s">
        <v>518</v>
      </c>
      <c r="B107" s="2" t="s">
        <v>519</v>
      </c>
      <c r="C107" s="2" t="s">
        <v>295</v>
      </c>
      <c r="D107" s="2" t="s">
        <v>159</v>
      </c>
      <c r="E107" s="2" t="s">
        <v>141</v>
      </c>
      <c r="F107" s="2" t="s">
        <v>39</v>
      </c>
      <c r="G107" s="2" t="s">
        <v>142</v>
      </c>
      <c r="H107" s="2" t="s">
        <v>65</v>
      </c>
      <c r="I107" s="2" t="s">
        <v>520</v>
      </c>
      <c r="J107" s="2" t="s">
        <v>75</v>
      </c>
      <c r="K107" s="2" t="s">
        <v>521</v>
      </c>
      <c r="L107" s="2" t="s">
        <v>29</v>
      </c>
      <c r="M107" s="2"/>
      <c r="N107" s="2"/>
      <c r="O107" s="2"/>
      <c r="P107" s="2"/>
      <c r="Q107" s="2"/>
      <c r="R107" s="2"/>
    </row>
    <row r="108" spans="1:18">
      <c r="A108" s="2" t="s">
        <v>522</v>
      </c>
      <c r="B108" s="2" t="s">
        <v>523</v>
      </c>
      <c r="C108" s="2" t="s">
        <v>295</v>
      </c>
      <c r="D108" s="2" t="s">
        <v>295</v>
      </c>
      <c r="E108" s="2" t="s">
        <v>22</v>
      </c>
      <c r="F108" s="2" t="s">
        <v>39</v>
      </c>
      <c r="G108" s="2" t="s">
        <v>24</v>
      </c>
      <c r="H108" s="2" t="s">
        <v>135</v>
      </c>
      <c r="I108" s="2" t="s">
        <v>524</v>
      </c>
      <c r="J108" s="2" t="s">
        <v>34</v>
      </c>
      <c r="K108" s="2" t="s">
        <v>525</v>
      </c>
      <c r="L108" s="2" t="s">
        <v>29</v>
      </c>
      <c r="M108" s="2"/>
      <c r="N108" s="2"/>
      <c r="O108" s="2"/>
      <c r="P108" s="2"/>
      <c r="Q108" s="2"/>
      <c r="R108" s="2"/>
    </row>
    <row r="109" spans="1:18">
      <c r="A109" s="2" t="s">
        <v>526</v>
      </c>
      <c r="B109" s="2" t="s">
        <v>527</v>
      </c>
      <c r="C109" s="2" t="s">
        <v>295</v>
      </c>
      <c r="D109" s="2" t="s">
        <v>528</v>
      </c>
      <c r="E109" s="2" t="s">
        <v>22</v>
      </c>
      <c r="F109" s="2" t="s">
        <v>39</v>
      </c>
      <c r="G109" s="2" t="s">
        <v>24</v>
      </c>
      <c r="H109" s="2" t="s">
        <v>135</v>
      </c>
      <c r="I109" s="2" t="s">
        <v>529</v>
      </c>
      <c r="J109" s="2" t="s">
        <v>34</v>
      </c>
      <c r="K109" s="2" t="s">
        <v>530</v>
      </c>
      <c r="L109" s="2" t="s">
        <v>29</v>
      </c>
      <c r="M109" s="2"/>
      <c r="N109" s="2"/>
      <c r="O109" s="2"/>
      <c r="P109" s="2"/>
      <c r="Q109" s="2"/>
      <c r="R109" s="2"/>
    </row>
    <row r="110" spans="1:18">
      <c r="A110" s="2" t="s">
        <v>531</v>
      </c>
      <c r="B110" s="2" t="s">
        <v>532</v>
      </c>
      <c r="C110" s="2" t="s">
        <v>295</v>
      </c>
      <c r="D110" s="2" t="s">
        <v>533</v>
      </c>
      <c r="E110" s="2" t="s">
        <v>22</v>
      </c>
      <c r="F110" s="2" t="s">
        <v>39</v>
      </c>
      <c r="G110" s="2" t="s">
        <v>24</v>
      </c>
      <c r="H110" s="2" t="s">
        <v>65</v>
      </c>
      <c r="I110" s="2" t="s">
        <v>534</v>
      </c>
      <c r="J110" s="2" t="s">
        <v>34</v>
      </c>
      <c r="K110" s="2" t="s">
        <v>535</v>
      </c>
      <c r="L110" s="2" t="s">
        <v>29</v>
      </c>
      <c r="M110" s="2"/>
      <c r="N110" s="2"/>
      <c r="O110" s="2"/>
      <c r="P110" s="2"/>
      <c r="Q110" s="2"/>
      <c r="R110" s="2"/>
    </row>
    <row r="111" spans="1:18">
      <c r="A111" s="2" t="s">
        <v>536</v>
      </c>
      <c r="B111" s="2" t="s">
        <v>537</v>
      </c>
      <c r="C111" s="2" t="s">
        <v>295</v>
      </c>
      <c r="D111" s="2" t="s">
        <v>538</v>
      </c>
      <c r="E111" s="2" t="s">
        <v>47</v>
      </c>
      <c r="F111" s="2" t="s">
        <v>39</v>
      </c>
      <c r="G111" s="2" t="s">
        <v>48</v>
      </c>
      <c r="H111" s="2" t="s">
        <v>135</v>
      </c>
      <c r="I111" s="2" t="s">
        <v>539</v>
      </c>
      <c r="J111" s="2" t="s">
        <v>27</v>
      </c>
      <c r="K111" s="2" t="s">
        <v>540</v>
      </c>
      <c r="L111" s="2" t="s">
        <v>29</v>
      </c>
      <c r="M111" s="2"/>
      <c r="N111" s="2"/>
      <c r="O111" s="2"/>
      <c r="P111" s="2"/>
      <c r="Q111" s="2"/>
      <c r="R111" s="2"/>
    </row>
    <row r="112" spans="1:18">
      <c r="A112" s="2" t="s">
        <v>541</v>
      </c>
      <c r="B112" s="2" t="s">
        <v>542</v>
      </c>
      <c r="C112" s="2" t="s">
        <v>295</v>
      </c>
      <c r="D112" s="2" t="s">
        <v>295</v>
      </c>
      <c r="E112" s="2" t="s">
        <v>47</v>
      </c>
      <c r="F112" s="2" t="s">
        <v>39</v>
      </c>
      <c r="G112" s="2" t="s">
        <v>48</v>
      </c>
      <c r="H112" s="2" t="s">
        <v>135</v>
      </c>
      <c r="I112" s="2" t="s">
        <v>543</v>
      </c>
      <c r="J112" s="2" t="s">
        <v>27</v>
      </c>
      <c r="K112" s="2" t="s">
        <v>544</v>
      </c>
      <c r="L112" s="2" t="s">
        <v>29</v>
      </c>
      <c r="M112" s="2"/>
      <c r="N112" s="2"/>
      <c r="O112" s="2"/>
      <c r="P112" s="2"/>
      <c r="Q112" s="2"/>
      <c r="R112" s="2"/>
    </row>
    <row r="113" spans="1:18">
      <c r="A113" s="2" t="s">
        <v>545</v>
      </c>
      <c r="B113" s="2" t="s">
        <v>546</v>
      </c>
      <c r="C113" s="2" t="s">
        <v>547</v>
      </c>
      <c r="D113" s="2" t="s">
        <v>547</v>
      </c>
      <c r="E113" s="2" t="s">
        <v>141</v>
      </c>
      <c r="F113" s="2" t="s">
        <v>23</v>
      </c>
      <c r="G113" s="2" t="s">
        <v>491</v>
      </c>
      <c r="H113" s="2" t="s">
        <v>73</v>
      </c>
      <c r="I113" s="2" t="s">
        <v>548</v>
      </c>
      <c r="J113" s="2" t="s">
        <v>75</v>
      </c>
      <c r="K113" s="2" t="s">
        <v>549</v>
      </c>
      <c r="L113" s="2" t="s">
        <v>29</v>
      </c>
      <c r="M113" s="2"/>
      <c r="N113" s="2"/>
      <c r="O113" s="2"/>
      <c r="P113" s="2"/>
      <c r="Q113" s="2"/>
      <c r="R113" s="2"/>
    </row>
    <row r="114" spans="1:18">
      <c r="A114" s="2" t="s">
        <v>550</v>
      </c>
      <c r="B114" s="2" t="s">
        <v>551</v>
      </c>
      <c r="C114" s="2" t="s">
        <v>547</v>
      </c>
      <c r="D114" s="2" t="s">
        <v>547</v>
      </c>
      <c r="E114" s="2" t="s">
        <v>141</v>
      </c>
      <c r="F114" s="2" t="s">
        <v>23</v>
      </c>
      <c r="G114" s="2" t="s">
        <v>491</v>
      </c>
      <c r="H114" s="2" t="s">
        <v>73</v>
      </c>
      <c r="I114" s="2" t="s">
        <v>552</v>
      </c>
      <c r="J114" s="2" t="s">
        <v>75</v>
      </c>
      <c r="K114" s="2" t="s">
        <v>553</v>
      </c>
      <c r="L114" s="2" t="s">
        <v>29</v>
      </c>
      <c r="M114" s="2"/>
      <c r="N114" s="2"/>
      <c r="O114" s="2"/>
      <c r="P114" s="2"/>
      <c r="Q114" s="2"/>
      <c r="R114" s="2"/>
    </row>
    <row r="115" spans="1:18">
      <c r="A115" s="2" t="s">
        <v>554</v>
      </c>
      <c r="B115" s="2" t="s">
        <v>555</v>
      </c>
      <c r="C115" s="2" t="s">
        <v>547</v>
      </c>
      <c r="D115" s="2" t="s">
        <v>547</v>
      </c>
      <c r="E115" s="2" t="s">
        <v>141</v>
      </c>
      <c r="F115" s="2" t="s">
        <v>23</v>
      </c>
      <c r="G115" s="2" t="s">
        <v>491</v>
      </c>
      <c r="H115" s="2" t="s">
        <v>73</v>
      </c>
      <c r="I115" s="2" t="s">
        <v>556</v>
      </c>
      <c r="J115" s="2" t="s">
        <v>75</v>
      </c>
      <c r="K115" s="2" t="s">
        <v>557</v>
      </c>
      <c r="L115" s="2" t="s">
        <v>29</v>
      </c>
      <c r="M115" s="2"/>
      <c r="N115" s="2"/>
      <c r="O115" s="2"/>
      <c r="P115" s="2"/>
      <c r="Q115" s="2"/>
      <c r="R115" s="2"/>
    </row>
    <row r="116" spans="1:18">
      <c r="A116" s="2" t="s">
        <v>558</v>
      </c>
      <c r="B116" s="2" t="s">
        <v>559</v>
      </c>
      <c r="C116" s="2" t="s">
        <v>547</v>
      </c>
      <c r="D116" s="2" t="s">
        <v>547</v>
      </c>
      <c r="E116" s="2" t="s">
        <v>71</v>
      </c>
      <c r="F116" s="2" t="s">
        <v>72</v>
      </c>
      <c r="G116" s="2" t="s">
        <v>491</v>
      </c>
      <c r="H116" s="2" t="s">
        <v>73</v>
      </c>
      <c r="I116" s="2" t="s">
        <v>560</v>
      </c>
      <c r="J116" s="2" t="s">
        <v>75</v>
      </c>
      <c r="K116" s="2" t="s">
        <v>561</v>
      </c>
      <c r="L116" s="2" t="s">
        <v>29</v>
      </c>
      <c r="M116" s="2"/>
      <c r="N116" s="2"/>
      <c r="O116" s="2"/>
      <c r="P116" s="2"/>
      <c r="Q116" s="2"/>
      <c r="R116" s="2"/>
    </row>
    <row r="117" spans="1:18">
      <c r="A117" s="2" t="s">
        <v>562</v>
      </c>
      <c r="B117" s="2" t="s">
        <v>563</v>
      </c>
      <c r="C117" s="2" t="s">
        <v>547</v>
      </c>
      <c r="D117" s="2" t="s">
        <v>564</v>
      </c>
      <c r="E117" s="2" t="s">
        <v>141</v>
      </c>
      <c r="F117" s="2" t="s">
        <v>23</v>
      </c>
      <c r="G117" s="2" t="s">
        <v>142</v>
      </c>
      <c r="H117" s="2" t="s">
        <v>65</v>
      </c>
      <c r="I117" s="2" t="s">
        <v>565</v>
      </c>
      <c r="J117" s="2" t="s">
        <v>75</v>
      </c>
      <c r="K117" s="2" t="s">
        <v>566</v>
      </c>
      <c r="L117" s="2" t="s">
        <v>29</v>
      </c>
      <c r="M117" s="2"/>
      <c r="N117" s="2"/>
      <c r="O117" s="2"/>
      <c r="P117" s="2"/>
      <c r="Q117" s="2"/>
      <c r="R117" s="2"/>
    </row>
    <row r="118" spans="1:18">
      <c r="A118" s="2" t="s">
        <v>567</v>
      </c>
      <c r="B118" s="2" t="s">
        <v>568</v>
      </c>
      <c r="C118" s="2" t="s">
        <v>547</v>
      </c>
      <c r="D118" s="2" t="s">
        <v>547</v>
      </c>
      <c r="E118" s="2" t="s">
        <v>71</v>
      </c>
      <c r="F118" s="2" t="s">
        <v>72</v>
      </c>
      <c r="G118" s="2" t="s">
        <v>248</v>
      </c>
      <c r="H118" s="2" t="s">
        <v>73</v>
      </c>
      <c r="I118" s="2" t="s">
        <v>569</v>
      </c>
      <c r="J118" s="2" t="s">
        <v>75</v>
      </c>
      <c r="K118" s="2" t="s">
        <v>570</v>
      </c>
      <c r="L118" s="2" t="s">
        <v>29</v>
      </c>
      <c r="M118" s="2"/>
      <c r="N118" s="2"/>
      <c r="O118" s="2"/>
      <c r="P118" s="2"/>
      <c r="Q118" s="2"/>
      <c r="R118" s="2"/>
    </row>
    <row r="119" spans="1:18">
      <c r="A119" s="2" t="s">
        <v>571</v>
      </c>
      <c r="B119" s="2" t="s">
        <v>572</v>
      </c>
      <c r="C119" s="2" t="s">
        <v>301</v>
      </c>
      <c r="D119" s="2" t="s">
        <v>301</v>
      </c>
      <c r="E119" s="2" t="s">
        <v>71</v>
      </c>
      <c r="F119" s="2" t="s">
        <v>39</v>
      </c>
      <c r="G119" s="2" t="s">
        <v>24</v>
      </c>
      <c r="H119" s="2" t="s">
        <v>302</v>
      </c>
      <c r="I119" s="2" t="s">
        <v>573</v>
      </c>
      <c r="J119" s="2" t="s">
        <v>304</v>
      </c>
      <c r="K119" s="2" t="s">
        <v>574</v>
      </c>
      <c r="L119" s="2" t="s">
        <v>29</v>
      </c>
      <c r="M119" s="2"/>
      <c r="N119" s="2"/>
      <c r="O119" s="2"/>
      <c r="P119" s="2"/>
      <c r="Q119" s="2"/>
      <c r="R119" s="2"/>
    </row>
    <row r="120" spans="1:18">
      <c r="A120" s="2" t="s">
        <v>575</v>
      </c>
      <c r="B120" s="2" t="s">
        <v>576</v>
      </c>
      <c r="C120" s="2" t="s">
        <v>301</v>
      </c>
      <c r="D120" s="2" t="s">
        <v>301</v>
      </c>
      <c r="E120" s="2" t="s">
        <v>71</v>
      </c>
      <c r="F120" s="2" t="s">
        <v>39</v>
      </c>
      <c r="G120" s="2" t="s">
        <v>24</v>
      </c>
      <c r="H120" s="2" t="s">
        <v>302</v>
      </c>
      <c r="I120" s="2" t="s">
        <v>577</v>
      </c>
      <c r="J120" s="2" t="s">
        <v>304</v>
      </c>
      <c r="K120" s="2" t="s">
        <v>578</v>
      </c>
      <c r="L120" s="2" t="s">
        <v>29</v>
      </c>
      <c r="M120" s="2"/>
      <c r="N120" s="2"/>
      <c r="O120" s="2"/>
      <c r="P120" s="2"/>
      <c r="Q120" s="2"/>
      <c r="R120" s="2"/>
    </row>
    <row r="121" spans="1:18">
      <c r="A121" s="2" t="s">
        <v>579</v>
      </c>
      <c r="B121" s="2" t="s">
        <v>580</v>
      </c>
      <c r="C121" s="2" t="s">
        <v>301</v>
      </c>
      <c r="D121" s="2" t="s">
        <v>308</v>
      </c>
      <c r="E121" s="2" t="s">
        <v>71</v>
      </c>
      <c r="F121" s="2" t="s">
        <v>39</v>
      </c>
      <c r="G121" s="2" t="s">
        <v>24</v>
      </c>
      <c r="H121" s="2" t="s">
        <v>302</v>
      </c>
      <c r="I121" s="2" t="s">
        <v>581</v>
      </c>
      <c r="J121" s="2" t="s">
        <v>304</v>
      </c>
      <c r="K121" s="2" t="s">
        <v>582</v>
      </c>
      <c r="L121" s="2" t="s">
        <v>29</v>
      </c>
      <c r="M121" s="2"/>
      <c r="N121" s="2"/>
      <c r="O121" s="2"/>
      <c r="P121" s="2"/>
      <c r="Q121" s="2"/>
      <c r="R121" s="2"/>
    </row>
    <row r="122" spans="1:18">
      <c r="A122" s="2" t="s">
        <v>583</v>
      </c>
      <c r="B122" s="2" t="s">
        <v>584</v>
      </c>
      <c r="C122" s="2" t="s">
        <v>301</v>
      </c>
      <c r="D122" s="2" t="s">
        <v>313</v>
      </c>
      <c r="E122" s="2" t="s">
        <v>22</v>
      </c>
      <c r="F122" s="2" t="s">
        <v>39</v>
      </c>
      <c r="G122" s="2" t="s">
        <v>24</v>
      </c>
      <c r="H122" s="2" t="s">
        <v>302</v>
      </c>
      <c r="I122" s="2" t="s">
        <v>585</v>
      </c>
      <c r="J122" s="2" t="s">
        <v>304</v>
      </c>
      <c r="K122" s="2" t="s">
        <v>586</v>
      </c>
      <c r="L122" s="2" t="s">
        <v>29</v>
      </c>
      <c r="M122" s="2"/>
      <c r="N122" s="2"/>
      <c r="O122" s="2"/>
      <c r="P122" s="2"/>
      <c r="Q122" s="2"/>
      <c r="R122" s="2"/>
    </row>
    <row r="123" spans="1:18">
      <c r="A123" s="2" t="s">
        <v>587</v>
      </c>
      <c r="B123" s="2" t="s">
        <v>588</v>
      </c>
      <c r="C123" s="2" t="s">
        <v>301</v>
      </c>
      <c r="D123" s="2" t="s">
        <v>308</v>
      </c>
      <c r="E123" s="2" t="s">
        <v>22</v>
      </c>
      <c r="F123" s="2" t="s">
        <v>39</v>
      </c>
      <c r="G123" s="2" t="s">
        <v>24</v>
      </c>
      <c r="H123" s="2" t="s">
        <v>302</v>
      </c>
      <c r="I123" s="2" t="s">
        <v>589</v>
      </c>
      <c r="J123" s="2" t="s">
        <v>304</v>
      </c>
      <c r="K123" s="2" t="s">
        <v>590</v>
      </c>
      <c r="L123" s="2" t="s">
        <v>29</v>
      </c>
      <c r="M123" s="2"/>
      <c r="N123" s="2"/>
      <c r="O123" s="2"/>
      <c r="P123" s="2"/>
      <c r="Q123" s="2"/>
      <c r="R123" s="2"/>
    </row>
    <row r="124" spans="1:18">
      <c r="A124" s="2" t="s">
        <v>591</v>
      </c>
      <c r="B124" s="2" t="s">
        <v>592</v>
      </c>
      <c r="C124" s="2" t="s">
        <v>301</v>
      </c>
      <c r="D124" s="2" t="s">
        <v>301</v>
      </c>
      <c r="E124" s="2" t="s">
        <v>71</v>
      </c>
      <c r="F124" s="2" t="s">
        <v>39</v>
      </c>
      <c r="G124" s="2" t="s">
        <v>24</v>
      </c>
      <c r="H124" s="2" t="s">
        <v>302</v>
      </c>
      <c r="I124" s="2" t="s">
        <v>593</v>
      </c>
      <c r="J124" s="2" t="s">
        <v>304</v>
      </c>
      <c r="K124" s="2" t="s">
        <v>594</v>
      </c>
      <c r="L124" s="2" t="s">
        <v>29</v>
      </c>
      <c r="M124" s="2"/>
      <c r="N124" s="2"/>
      <c r="O124" s="2"/>
      <c r="P124" s="2"/>
      <c r="Q124" s="2"/>
      <c r="R124" s="2"/>
    </row>
  </sheetData>
  <conditionalFormatting sqref="L2:L500">
    <cfRule type="expression" dxfId="14" priority="1">
      <formula>L2="Verified"</formula>
    </cfRule>
    <cfRule type="expression" dxfId="13" priority="2">
      <formula>L2="Failed"</formula>
    </cfRule>
    <cfRule type="expression" dxfId="12" priority="3">
      <formula>L2="In Progress"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000-000000000000}">
          <x14:formula1>
            <xm:f>Lists!$A$2:$A$5</xm:f>
          </x14:formula1>
          <xm:sqref>L2:L500</xm:sqref>
        </x14:dataValidation>
        <x14:dataValidation type="list" xr:uid="{00000000-0002-0000-0000-000001000000}">
          <x14:formula1>
            <xm:f>Lists!$B$2:$B$5</xm:f>
          </x14:formula1>
          <xm:sqref>F2:F500</xm:sqref>
        </x14:dataValidation>
        <x14:dataValidation type="list" xr:uid="{00000000-0002-0000-0000-000002000000}">
          <x14:formula1>
            <xm:f>Lists!$C$2:$C$6</xm:f>
          </x14:formula1>
          <xm:sqref>G2:G500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8"/>
  <sheetViews>
    <sheetView topLeftCell="J1" zoomScaleNormal="100" zoomScaleSheetLayoutView="100" workbookViewId="0">
      <selection activeCell="D1" sqref="D1:D1048576"/>
    </sheetView>
  </sheetViews>
  <sheetFormatPr defaultRowHeight="15"/>
  <cols>
    <col min="1" max="1" width="15" bestFit="1" customWidth="1"/>
    <col min="2" max="2" width="52" customWidth="1"/>
    <col min="3" max="3" width="19.125" bestFit="1" customWidth="1"/>
    <col min="4" max="4" width="25" bestFit="1" customWidth="1"/>
    <col min="5" max="5" width="15.5" bestFit="1" customWidth="1"/>
    <col min="6" max="6" width="19" bestFit="1" customWidth="1"/>
    <col min="7" max="7" width="16.375" bestFit="1" customWidth="1"/>
    <col min="8" max="8" width="12.5" bestFit="1" customWidth="1"/>
    <col min="9" max="9" width="11.75" bestFit="1" customWidth="1"/>
    <col min="10" max="10" width="16.75" bestFit="1" customWidth="1"/>
    <col min="11" max="11" width="86.25" customWidth="1"/>
    <col min="12" max="12" width="7.625" bestFit="1" customWidth="1"/>
    <col min="13" max="18" width="16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50.25">
      <c r="A2" s="2" t="s">
        <v>68</v>
      </c>
      <c r="B2" s="2" t="s">
        <v>69</v>
      </c>
      <c r="C2" s="2" t="s">
        <v>20</v>
      </c>
      <c r="D2" s="2" t="s">
        <v>70</v>
      </c>
      <c r="E2" s="2" t="s">
        <v>71</v>
      </c>
      <c r="F2" s="2" t="s">
        <v>72</v>
      </c>
      <c r="G2" s="2" t="s">
        <v>24</v>
      </c>
      <c r="H2" s="2" t="s">
        <v>73</v>
      </c>
      <c r="I2" s="2" t="s">
        <v>74</v>
      </c>
      <c r="J2" s="2" t="s">
        <v>75</v>
      </c>
      <c r="K2" s="2" t="s">
        <v>76</v>
      </c>
      <c r="L2" s="2" t="s">
        <v>29</v>
      </c>
      <c r="M2" s="2"/>
      <c r="N2" s="2"/>
      <c r="O2" s="2"/>
      <c r="P2" s="2"/>
      <c r="Q2" s="2"/>
      <c r="R2" s="2"/>
    </row>
    <row r="3" spans="1:18">
      <c r="A3" s="2" t="s">
        <v>215</v>
      </c>
      <c r="B3" s="2" t="s">
        <v>216</v>
      </c>
      <c r="C3" s="2" t="s">
        <v>207</v>
      </c>
      <c r="D3" s="2" t="s">
        <v>217</v>
      </c>
      <c r="E3" s="2" t="s">
        <v>71</v>
      </c>
      <c r="F3" s="2" t="s">
        <v>39</v>
      </c>
      <c r="G3" s="2" t="s">
        <v>142</v>
      </c>
      <c r="H3" s="2" t="s">
        <v>84</v>
      </c>
      <c r="I3" s="2" t="s">
        <v>218</v>
      </c>
      <c r="J3" s="2" t="s">
        <v>75</v>
      </c>
      <c r="K3" s="2" t="s">
        <v>219</v>
      </c>
      <c r="L3" s="2" t="s">
        <v>29</v>
      </c>
      <c r="M3" s="2"/>
      <c r="N3" s="2"/>
      <c r="O3" s="2"/>
      <c r="P3" s="2"/>
      <c r="Q3" s="2"/>
      <c r="R3" s="2"/>
    </row>
    <row r="4" spans="1:18">
      <c r="A4" s="2" t="s">
        <v>220</v>
      </c>
      <c r="B4" s="2" t="s">
        <v>221</v>
      </c>
      <c r="C4" s="2" t="s">
        <v>207</v>
      </c>
      <c r="D4" s="2" t="s">
        <v>222</v>
      </c>
      <c r="E4" s="2" t="s">
        <v>71</v>
      </c>
      <c r="F4" s="2" t="s">
        <v>39</v>
      </c>
      <c r="G4" s="2" t="s">
        <v>142</v>
      </c>
      <c r="H4" s="2" t="s">
        <v>84</v>
      </c>
      <c r="I4" s="2" t="s">
        <v>223</v>
      </c>
      <c r="J4" s="2" t="s">
        <v>75</v>
      </c>
      <c r="K4" s="2" t="s">
        <v>224</v>
      </c>
      <c r="L4" s="2" t="s">
        <v>29</v>
      </c>
      <c r="M4" s="2"/>
      <c r="N4" s="2"/>
      <c r="O4" s="2"/>
      <c r="P4" s="2"/>
      <c r="Q4" s="2"/>
      <c r="R4" s="2"/>
    </row>
    <row r="5" spans="1:18">
      <c r="A5" s="2" t="s">
        <v>246</v>
      </c>
      <c r="B5" s="2" t="s">
        <v>247</v>
      </c>
      <c r="C5" s="2" t="s">
        <v>232</v>
      </c>
      <c r="D5" s="2" t="s">
        <v>70</v>
      </c>
      <c r="E5" s="2" t="s">
        <v>71</v>
      </c>
      <c r="F5" s="2" t="s">
        <v>39</v>
      </c>
      <c r="G5" s="2" t="s">
        <v>248</v>
      </c>
      <c r="H5" s="2" t="s">
        <v>234</v>
      </c>
      <c r="I5" s="2" t="s">
        <v>249</v>
      </c>
      <c r="J5" s="2" t="s">
        <v>236</v>
      </c>
      <c r="K5" s="2" t="s">
        <v>250</v>
      </c>
      <c r="L5" s="2" t="s">
        <v>29</v>
      </c>
      <c r="M5" s="2"/>
      <c r="N5" s="2"/>
      <c r="O5" s="2"/>
      <c r="P5" s="2"/>
      <c r="Q5" s="2"/>
      <c r="R5" s="2"/>
    </row>
    <row r="6" spans="1:18">
      <c r="A6" s="2" t="s">
        <v>298</v>
      </c>
      <c r="B6" s="2" t="s">
        <v>299</v>
      </c>
      <c r="C6" s="2" t="s">
        <v>300</v>
      </c>
      <c r="D6" s="2" t="s">
        <v>301</v>
      </c>
      <c r="E6" s="2" t="s">
        <v>71</v>
      </c>
      <c r="F6" s="2" t="s">
        <v>39</v>
      </c>
      <c r="G6" s="2" t="s">
        <v>24</v>
      </c>
      <c r="H6" s="2" t="s">
        <v>302</v>
      </c>
      <c r="I6" s="2" t="s">
        <v>303</v>
      </c>
      <c r="J6" s="2" t="s">
        <v>304</v>
      </c>
      <c r="K6" s="2" t="s">
        <v>305</v>
      </c>
      <c r="L6" s="2" t="s">
        <v>29</v>
      </c>
      <c r="M6" s="2"/>
      <c r="N6" s="2"/>
      <c r="O6" s="2"/>
      <c r="P6" s="2"/>
      <c r="Q6" s="2"/>
      <c r="R6" s="2"/>
    </row>
    <row r="7" spans="1:18">
      <c r="A7" s="2" t="s">
        <v>306</v>
      </c>
      <c r="B7" s="2" t="s">
        <v>307</v>
      </c>
      <c r="C7" s="2" t="s">
        <v>300</v>
      </c>
      <c r="D7" s="2" t="s">
        <v>308</v>
      </c>
      <c r="E7" s="2" t="s">
        <v>71</v>
      </c>
      <c r="F7" s="2" t="s">
        <v>72</v>
      </c>
      <c r="G7" s="2" t="s">
        <v>24</v>
      </c>
      <c r="H7" s="2" t="s">
        <v>302</v>
      </c>
      <c r="I7" s="2" t="s">
        <v>309</v>
      </c>
      <c r="J7" s="2" t="s">
        <v>304</v>
      </c>
      <c r="K7" s="2" t="s">
        <v>310</v>
      </c>
      <c r="L7" s="2" t="s">
        <v>29</v>
      </c>
      <c r="M7" s="2"/>
      <c r="N7" s="2"/>
      <c r="O7" s="2"/>
      <c r="P7" s="2"/>
      <c r="Q7" s="2"/>
      <c r="R7" s="2"/>
    </row>
    <row r="8" spans="1:18">
      <c r="A8" s="2" t="s">
        <v>316</v>
      </c>
      <c r="B8" s="2" t="s">
        <v>317</v>
      </c>
      <c r="C8" s="2" t="s">
        <v>300</v>
      </c>
      <c r="D8" s="2" t="s">
        <v>308</v>
      </c>
      <c r="E8" s="2" t="s">
        <v>71</v>
      </c>
      <c r="F8" s="2" t="s">
        <v>39</v>
      </c>
      <c r="G8" s="2" t="s">
        <v>24</v>
      </c>
      <c r="H8" s="2" t="s">
        <v>302</v>
      </c>
      <c r="I8" s="2" t="s">
        <v>318</v>
      </c>
      <c r="J8" s="2" t="s">
        <v>304</v>
      </c>
      <c r="K8" s="2" t="s">
        <v>319</v>
      </c>
      <c r="L8" s="2" t="s">
        <v>29</v>
      </c>
      <c r="M8" s="2"/>
      <c r="N8" s="2"/>
      <c r="O8" s="2"/>
      <c r="P8" s="2"/>
      <c r="Q8" s="2"/>
      <c r="R8" s="2"/>
    </row>
    <row r="9" spans="1:18">
      <c r="A9" s="2" t="s">
        <v>336</v>
      </c>
      <c r="B9" s="2" t="s">
        <v>337</v>
      </c>
      <c r="C9" s="2" t="s">
        <v>90</v>
      </c>
      <c r="D9" s="2" t="s">
        <v>95</v>
      </c>
      <c r="E9" s="2" t="s">
        <v>71</v>
      </c>
      <c r="F9" s="2" t="s">
        <v>23</v>
      </c>
      <c r="G9" s="2" t="s">
        <v>24</v>
      </c>
      <c r="H9" s="2" t="s">
        <v>84</v>
      </c>
      <c r="I9" s="2" t="s">
        <v>338</v>
      </c>
      <c r="J9" s="2" t="s">
        <v>34</v>
      </c>
      <c r="K9" s="2" t="s">
        <v>339</v>
      </c>
      <c r="L9" s="2" t="s">
        <v>29</v>
      </c>
      <c r="M9" s="2"/>
      <c r="N9" s="2"/>
      <c r="O9" s="2"/>
      <c r="P9" s="2"/>
      <c r="Q9" s="2"/>
      <c r="R9" s="2"/>
    </row>
    <row r="10" spans="1:18">
      <c r="A10" s="2" t="s">
        <v>424</v>
      </c>
      <c r="B10" s="2" t="s">
        <v>425</v>
      </c>
      <c r="C10" s="2" t="s">
        <v>64</v>
      </c>
      <c r="D10" s="2" t="s">
        <v>64</v>
      </c>
      <c r="E10" s="2" t="s">
        <v>71</v>
      </c>
      <c r="F10" s="2" t="s">
        <v>39</v>
      </c>
      <c r="G10" s="2" t="s">
        <v>24</v>
      </c>
      <c r="H10" s="2" t="s">
        <v>65</v>
      </c>
      <c r="I10" s="2" t="s">
        <v>426</v>
      </c>
      <c r="J10" s="2" t="s">
        <v>34</v>
      </c>
      <c r="K10" s="2" t="s">
        <v>427</v>
      </c>
      <c r="L10" s="2" t="s">
        <v>29</v>
      </c>
      <c r="M10" s="2"/>
      <c r="N10" s="2"/>
      <c r="O10" s="2"/>
      <c r="P10" s="2"/>
      <c r="Q10" s="2"/>
      <c r="R10" s="2"/>
    </row>
    <row r="11" spans="1:18">
      <c r="A11" s="2" t="s">
        <v>428</v>
      </c>
      <c r="B11" s="2" t="s">
        <v>429</v>
      </c>
      <c r="C11" s="2" t="s">
        <v>64</v>
      </c>
      <c r="D11" s="2" t="s">
        <v>64</v>
      </c>
      <c r="E11" s="2" t="s">
        <v>71</v>
      </c>
      <c r="F11" s="2" t="s">
        <v>39</v>
      </c>
      <c r="G11" s="2" t="s">
        <v>24</v>
      </c>
      <c r="H11" s="2" t="s">
        <v>65</v>
      </c>
      <c r="I11" s="2" t="s">
        <v>430</v>
      </c>
      <c r="J11" s="2" t="s">
        <v>34</v>
      </c>
      <c r="K11" s="2" t="s">
        <v>431</v>
      </c>
      <c r="L11" s="2" t="s">
        <v>29</v>
      </c>
      <c r="M11" s="2"/>
      <c r="N11" s="2"/>
      <c r="O11" s="2"/>
      <c r="P11" s="2"/>
      <c r="Q11" s="2"/>
      <c r="R11" s="2"/>
    </row>
    <row r="12" spans="1:18">
      <c r="A12" s="2" t="s">
        <v>432</v>
      </c>
      <c r="B12" s="2" t="s">
        <v>433</v>
      </c>
      <c r="C12" s="2" t="s">
        <v>64</v>
      </c>
      <c r="D12" s="2" t="s">
        <v>64</v>
      </c>
      <c r="E12" s="2" t="s">
        <v>71</v>
      </c>
      <c r="F12" s="2" t="s">
        <v>23</v>
      </c>
      <c r="G12" s="2" t="s">
        <v>24</v>
      </c>
      <c r="H12" s="2" t="s">
        <v>65</v>
      </c>
      <c r="I12" s="2" t="s">
        <v>434</v>
      </c>
      <c r="J12" s="2" t="s">
        <v>34</v>
      </c>
      <c r="K12" s="2" t="s">
        <v>435</v>
      </c>
      <c r="L12" s="2" t="s">
        <v>29</v>
      </c>
      <c r="M12" s="2"/>
      <c r="N12" s="2"/>
      <c r="O12" s="2"/>
      <c r="P12" s="2"/>
      <c r="Q12" s="2"/>
      <c r="R12" s="2"/>
    </row>
    <row r="13" spans="1:18">
      <c r="A13" s="2" t="s">
        <v>445</v>
      </c>
      <c r="B13" s="2" t="s">
        <v>446</v>
      </c>
      <c r="C13" s="2" t="s">
        <v>83</v>
      </c>
      <c r="D13" s="2" t="s">
        <v>95</v>
      </c>
      <c r="E13" s="2" t="s">
        <v>71</v>
      </c>
      <c r="F13" s="2" t="s">
        <v>39</v>
      </c>
      <c r="G13" s="2" t="s">
        <v>24</v>
      </c>
      <c r="H13" s="2" t="s">
        <v>84</v>
      </c>
      <c r="I13" s="2" t="s">
        <v>447</v>
      </c>
      <c r="J13" s="2" t="s">
        <v>34</v>
      </c>
      <c r="K13" s="2" t="s">
        <v>448</v>
      </c>
      <c r="L13" s="2" t="s">
        <v>29</v>
      </c>
      <c r="M13" s="2"/>
      <c r="N13" s="2"/>
      <c r="O13" s="2"/>
      <c r="P13" s="2"/>
      <c r="Q13" s="2"/>
      <c r="R13" s="2"/>
    </row>
    <row r="14" spans="1:18">
      <c r="A14" s="2" t="s">
        <v>449</v>
      </c>
      <c r="B14" s="2" t="s">
        <v>450</v>
      </c>
      <c r="C14" s="2" t="s">
        <v>83</v>
      </c>
      <c r="D14" s="2" t="s">
        <v>95</v>
      </c>
      <c r="E14" s="2" t="s">
        <v>71</v>
      </c>
      <c r="F14" s="2" t="s">
        <v>39</v>
      </c>
      <c r="G14" s="2" t="s">
        <v>24</v>
      </c>
      <c r="H14" s="2" t="s">
        <v>84</v>
      </c>
      <c r="I14" s="2" t="s">
        <v>451</v>
      </c>
      <c r="J14" s="2" t="s">
        <v>34</v>
      </c>
      <c r="K14" s="2" t="s">
        <v>452</v>
      </c>
      <c r="L14" s="2" t="s">
        <v>29</v>
      </c>
      <c r="M14" s="2"/>
      <c r="N14" s="2"/>
      <c r="O14" s="2"/>
      <c r="P14" s="2"/>
      <c r="Q14" s="2"/>
      <c r="R14" s="2"/>
    </row>
    <row r="15" spans="1:18">
      <c r="A15" s="2" t="s">
        <v>453</v>
      </c>
      <c r="B15" s="2" t="s">
        <v>454</v>
      </c>
      <c r="C15" s="2" t="s">
        <v>83</v>
      </c>
      <c r="D15" s="2" t="s">
        <v>95</v>
      </c>
      <c r="E15" s="2" t="s">
        <v>71</v>
      </c>
      <c r="F15" s="2" t="s">
        <v>39</v>
      </c>
      <c r="G15" s="2" t="s">
        <v>24</v>
      </c>
      <c r="H15" s="2" t="s">
        <v>84</v>
      </c>
      <c r="I15" s="2" t="s">
        <v>455</v>
      </c>
      <c r="J15" s="2" t="s">
        <v>34</v>
      </c>
      <c r="K15" s="2" t="s">
        <v>456</v>
      </c>
      <c r="L15" s="2" t="s">
        <v>29</v>
      </c>
      <c r="M15" s="2"/>
      <c r="N15" s="2"/>
      <c r="O15" s="2"/>
      <c r="P15" s="2"/>
      <c r="Q15" s="2"/>
      <c r="R15" s="2"/>
    </row>
    <row r="16" spans="1:18">
      <c r="A16" s="2" t="s">
        <v>488</v>
      </c>
      <c r="B16" s="2" t="s">
        <v>489</v>
      </c>
      <c r="C16" s="2" t="s">
        <v>258</v>
      </c>
      <c r="D16" s="2" t="s">
        <v>490</v>
      </c>
      <c r="E16" s="2" t="s">
        <v>71</v>
      </c>
      <c r="F16" s="2" t="s">
        <v>72</v>
      </c>
      <c r="G16" s="2" t="s">
        <v>491</v>
      </c>
      <c r="H16" s="2" t="s">
        <v>259</v>
      </c>
      <c r="I16" s="2" t="s">
        <v>492</v>
      </c>
      <c r="J16" s="2" t="s">
        <v>75</v>
      </c>
      <c r="K16" s="2" t="s">
        <v>493</v>
      </c>
      <c r="L16" s="2" t="s">
        <v>29</v>
      </c>
      <c r="M16" s="2"/>
      <c r="N16" s="2"/>
      <c r="O16" s="2"/>
      <c r="P16" s="2"/>
      <c r="Q16" s="2"/>
      <c r="R16" s="2"/>
    </row>
    <row r="17" spans="1:18">
      <c r="A17" s="2" t="s">
        <v>494</v>
      </c>
      <c r="B17" s="2" t="s">
        <v>495</v>
      </c>
      <c r="C17" s="2" t="s">
        <v>109</v>
      </c>
      <c r="D17" s="2" t="s">
        <v>109</v>
      </c>
      <c r="E17" s="2" t="s">
        <v>71</v>
      </c>
      <c r="F17" s="2" t="s">
        <v>23</v>
      </c>
      <c r="G17" s="2" t="s">
        <v>24</v>
      </c>
      <c r="H17" s="2" t="s">
        <v>84</v>
      </c>
      <c r="I17" s="2" t="s">
        <v>496</v>
      </c>
      <c r="J17" s="2" t="s">
        <v>34</v>
      </c>
      <c r="K17" s="2" t="s">
        <v>497</v>
      </c>
      <c r="L17" s="2" t="s">
        <v>29</v>
      </c>
      <c r="M17" s="2"/>
      <c r="N17" s="2"/>
      <c r="O17" s="2"/>
      <c r="P17" s="2"/>
      <c r="Q17" s="2"/>
      <c r="R17" s="2"/>
    </row>
    <row r="18" spans="1:18">
      <c r="A18" s="2" t="s">
        <v>498</v>
      </c>
      <c r="B18" s="2" t="s">
        <v>499</v>
      </c>
      <c r="C18" s="2" t="s">
        <v>109</v>
      </c>
      <c r="D18" s="2" t="s">
        <v>109</v>
      </c>
      <c r="E18" s="2" t="s">
        <v>71</v>
      </c>
      <c r="F18" s="2" t="s">
        <v>39</v>
      </c>
      <c r="G18" s="2" t="s">
        <v>24</v>
      </c>
      <c r="H18" s="2" t="s">
        <v>84</v>
      </c>
      <c r="I18" s="2" t="s">
        <v>500</v>
      </c>
      <c r="J18" s="2" t="s">
        <v>34</v>
      </c>
      <c r="K18" s="2" t="s">
        <v>501</v>
      </c>
      <c r="L18" s="2" t="s">
        <v>29</v>
      </c>
      <c r="M18" s="2"/>
      <c r="N18" s="2"/>
      <c r="O18" s="2"/>
      <c r="P18" s="2"/>
      <c r="Q18" s="2"/>
      <c r="R18" s="2"/>
    </row>
    <row r="19" spans="1:18">
      <c r="A19" s="2" t="s">
        <v>502</v>
      </c>
      <c r="B19" s="2" t="s">
        <v>503</v>
      </c>
      <c r="C19" s="2" t="s">
        <v>109</v>
      </c>
      <c r="D19" s="2" t="s">
        <v>109</v>
      </c>
      <c r="E19" s="2" t="s">
        <v>71</v>
      </c>
      <c r="F19" s="2" t="s">
        <v>39</v>
      </c>
      <c r="G19" s="2" t="s">
        <v>24</v>
      </c>
      <c r="H19" s="2" t="s">
        <v>84</v>
      </c>
      <c r="I19" s="2" t="s">
        <v>504</v>
      </c>
      <c r="J19" s="2" t="s">
        <v>122</v>
      </c>
      <c r="K19" s="2" t="s">
        <v>505</v>
      </c>
      <c r="L19" s="2" t="s">
        <v>29</v>
      </c>
      <c r="M19" s="2"/>
      <c r="N19" s="2"/>
      <c r="O19" s="2"/>
      <c r="P19" s="2"/>
      <c r="Q19" s="2"/>
      <c r="R19" s="2"/>
    </row>
    <row r="20" spans="1:18">
      <c r="A20" s="2" t="s">
        <v>506</v>
      </c>
      <c r="B20" s="2" t="s">
        <v>507</v>
      </c>
      <c r="C20" s="2" t="s">
        <v>109</v>
      </c>
      <c r="D20" s="2" t="s">
        <v>109</v>
      </c>
      <c r="E20" s="2" t="s">
        <v>71</v>
      </c>
      <c r="F20" s="2" t="s">
        <v>39</v>
      </c>
      <c r="G20" s="2" t="s">
        <v>24</v>
      </c>
      <c r="H20" s="2" t="s">
        <v>84</v>
      </c>
      <c r="I20" s="2" t="s">
        <v>508</v>
      </c>
      <c r="J20" s="2" t="s">
        <v>122</v>
      </c>
      <c r="K20" s="2" t="s">
        <v>509</v>
      </c>
      <c r="L20" s="2" t="s">
        <v>29</v>
      </c>
      <c r="M20" s="2"/>
      <c r="N20" s="2"/>
      <c r="O20" s="2"/>
      <c r="P20" s="2"/>
      <c r="Q20" s="2"/>
      <c r="R20" s="2"/>
    </row>
    <row r="21" spans="1:18">
      <c r="A21" s="2" t="s">
        <v>510</v>
      </c>
      <c r="B21" s="2" t="s">
        <v>511</v>
      </c>
      <c r="C21" s="2" t="s">
        <v>109</v>
      </c>
      <c r="D21" s="2" t="s">
        <v>109</v>
      </c>
      <c r="E21" s="2" t="s">
        <v>71</v>
      </c>
      <c r="F21" s="2" t="s">
        <v>39</v>
      </c>
      <c r="G21" s="2" t="s">
        <v>24</v>
      </c>
      <c r="H21" s="2" t="s">
        <v>84</v>
      </c>
      <c r="I21" s="2" t="s">
        <v>512</v>
      </c>
      <c r="J21" s="2" t="s">
        <v>122</v>
      </c>
      <c r="K21" s="2" t="s">
        <v>513</v>
      </c>
      <c r="L21" s="2" t="s">
        <v>29</v>
      </c>
      <c r="M21" s="2"/>
      <c r="N21" s="2"/>
      <c r="O21" s="2"/>
      <c r="P21" s="2"/>
      <c r="Q21" s="2"/>
      <c r="R21" s="2"/>
    </row>
    <row r="22" spans="1:18">
      <c r="A22" s="2" t="s">
        <v>514</v>
      </c>
      <c r="B22" s="2" t="s">
        <v>515</v>
      </c>
      <c r="C22" s="2" t="s">
        <v>109</v>
      </c>
      <c r="D22" s="2" t="s">
        <v>273</v>
      </c>
      <c r="E22" s="2" t="s">
        <v>71</v>
      </c>
      <c r="F22" s="2" t="s">
        <v>39</v>
      </c>
      <c r="G22" s="2" t="s">
        <v>24</v>
      </c>
      <c r="H22" s="2" t="s">
        <v>84</v>
      </c>
      <c r="I22" s="2" t="s">
        <v>516</v>
      </c>
      <c r="J22" s="2" t="s">
        <v>34</v>
      </c>
      <c r="K22" s="2" t="s">
        <v>517</v>
      </c>
      <c r="L22" s="2" t="s">
        <v>29</v>
      </c>
      <c r="M22" s="2"/>
      <c r="N22" s="2"/>
      <c r="O22" s="2"/>
      <c r="P22" s="2"/>
      <c r="Q22" s="2"/>
      <c r="R22" s="2"/>
    </row>
    <row r="23" spans="1:18">
      <c r="A23" s="2" t="s">
        <v>558</v>
      </c>
      <c r="B23" s="2" t="s">
        <v>559</v>
      </c>
      <c r="C23" s="2" t="s">
        <v>547</v>
      </c>
      <c r="D23" s="2" t="s">
        <v>547</v>
      </c>
      <c r="E23" s="2" t="s">
        <v>71</v>
      </c>
      <c r="F23" s="2" t="s">
        <v>72</v>
      </c>
      <c r="G23" s="2" t="s">
        <v>491</v>
      </c>
      <c r="H23" s="2" t="s">
        <v>73</v>
      </c>
      <c r="I23" s="2" t="s">
        <v>560</v>
      </c>
      <c r="J23" s="2" t="s">
        <v>75</v>
      </c>
      <c r="K23" s="2" t="s">
        <v>561</v>
      </c>
      <c r="L23" s="2" t="s">
        <v>29</v>
      </c>
      <c r="M23" s="2"/>
      <c r="N23" s="2"/>
      <c r="O23" s="2"/>
      <c r="P23" s="2"/>
      <c r="Q23" s="2"/>
      <c r="R23" s="2"/>
    </row>
    <row r="24" spans="1:18">
      <c r="A24" s="2" t="s">
        <v>567</v>
      </c>
      <c r="B24" s="2" t="s">
        <v>568</v>
      </c>
      <c r="C24" s="2" t="s">
        <v>547</v>
      </c>
      <c r="D24" s="2" t="s">
        <v>547</v>
      </c>
      <c r="E24" s="2" t="s">
        <v>71</v>
      </c>
      <c r="F24" s="2" t="s">
        <v>72</v>
      </c>
      <c r="G24" s="2" t="s">
        <v>248</v>
      </c>
      <c r="H24" s="2" t="s">
        <v>73</v>
      </c>
      <c r="I24" s="2" t="s">
        <v>569</v>
      </c>
      <c r="J24" s="2" t="s">
        <v>75</v>
      </c>
      <c r="K24" s="2" t="s">
        <v>570</v>
      </c>
      <c r="L24" s="2" t="s">
        <v>29</v>
      </c>
      <c r="M24" s="2"/>
      <c r="N24" s="2"/>
      <c r="O24" s="2"/>
      <c r="P24" s="2"/>
      <c r="Q24" s="2"/>
      <c r="R24" s="2"/>
    </row>
    <row r="25" spans="1:18">
      <c r="A25" s="2" t="s">
        <v>571</v>
      </c>
      <c r="B25" s="2" t="s">
        <v>572</v>
      </c>
      <c r="C25" s="2" t="s">
        <v>301</v>
      </c>
      <c r="D25" s="2" t="s">
        <v>301</v>
      </c>
      <c r="E25" s="2" t="s">
        <v>71</v>
      </c>
      <c r="F25" s="2" t="s">
        <v>39</v>
      </c>
      <c r="G25" s="2" t="s">
        <v>24</v>
      </c>
      <c r="H25" s="2" t="s">
        <v>302</v>
      </c>
      <c r="I25" s="2" t="s">
        <v>573</v>
      </c>
      <c r="J25" s="2" t="s">
        <v>304</v>
      </c>
      <c r="K25" s="2" t="s">
        <v>574</v>
      </c>
      <c r="L25" s="2" t="s">
        <v>29</v>
      </c>
      <c r="M25" s="2"/>
      <c r="N25" s="2"/>
      <c r="O25" s="2"/>
      <c r="P25" s="2"/>
      <c r="Q25" s="2"/>
      <c r="R25" s="2"/>
    </row>
    <row r="26" spans="1:18">
      <c r="A26" s="2" t="s">
        <v>575</v>
      </c>
      <c r="B26" s="2" t="s">
        <v>576</v>
      </c>
      <c r="C26" s="2" t="s">
        <v>301</v>
      </c>
      <c r="D26" s="2" t="s">
        <v>301</v>
      </c>
      <c r="E26" s="2" t="s">
        <v>71</v>
      </c>
      <c r="F26" s="2" t="s">
        <v>39</v>
      </c>
      <c r="G26" s="2" t="s">
        <v>24</v>
      </c>
      <c r="H26" s="2" t="s">
        <v>302</v>
      </c>
      <c r="I26" s="2" t="s">
        <v>577</v>
      </c>
      <c r="J26" s="2" t="s">
        <v>304</v>
      </c>
      <c r="K26" s="2" t="s">
        <v>578</v>
      </c>
      <c r="L26" s="2" t="s">
        <v>29</v>
      </c>
      <c r="M26" s="2"/>
      <c r="N26" s="2"/>
      <c r="O26" s="2"/>
      <c r="P26" s="2"/>
      <c r="Q26" s="2"/>
      <c r="R26" s="2"/>
    </row>
    <row r="27" spans="1:18">
      <c r="A27" s="2" t="s">
        <v>579</v>
      </c>
      <c r="B27" s="2" t="s">
        <v>580</v>
      </c>
      <c r="C27" s="2" t="s">
        <v>301</v>
      </c>
      <c r="D27" s="2" t="s">
        <v>308</v>
      </c>
      <c r="E27" s="2" t="s">
        <v>71</v>
      </c>
      <c r="F27" s="2" t="s">
        <v>39</v>
      </c>
      <c r="G27" s="2" t="s">
        <v>24</v>
      </c>
      <c r="H27" s="2" t="s">
        <v>302</v>
      </c>
      <c r="I27" s="2" t="s">
        <v>581</v>
      </c>
      <c r="J27" s="2" t="s">
        <v>304</v>
      </c>
      <c r="K27" s="2" t="s">
        <v>582</v>
      </c>
      <c r="L27" s="2" t="s">
        <v>29</v>
      </c>
      <c r="M27" s="2"/>
      <c r="N27" s="2"/>
      <c r="O27" s="2"/>
      <c r="P27" s="2"/>
      <c r="Q27" s="2"/>
      <c r="R27" s="2"/>
    </row>
    <row r="28" spans="1:18">
      <c r="A28" s="2" t="s">
        <v>591</v>
      </c>
      <c r="B28" s="2" t="s">
        <v>592</v>
      </c>
      <c r="C28" s="2" t="s">
        <v>301</v>
      </c>
      <c r="D28" s="2" t="s">
        <v>301</v>
      </c>
      <c r="E28" s="2" t="s">
        <v>71</v>
      </c>
      <c r="F28" s="2" t="s">
        <v>39</v>
      </c>
      <c r="G28" s="2" t="s">
        <v>24</v>
      </c>
      <c r="H28" s="2" t="s">
        <v>302</v>
      </c>
      <c r="I28" s="2" t="s">
        <v>593</v>
      </c>
      <c r="J28" s="2" t="s">
        <v>304</v>
      </c>
      <c r="K28" s="2" t="s">
        <v>594</v>
      </c>
      <c r="L28" s="2" t="s">
        <v>29</v>
      </c>
      <c r="M28" s="2"/>
      <c r="N28" s="2"/>
      <c r="O28" s="2"/>
      <c r="P28" s="2"/>
      <c r="Q28" s="2"/>
      <c r="R28" s="2"/>
    </row>
  </sheetData>
  <conditionalFormatting sqref="L2:L500">
    <cfRule type="expression" dxfId="11" priority="1">
      <formula>L2="Verified"</formula>
    </cfRule>
    <cfRule type="expression" dxfId="10" priority="2">
      <formula>L2="Failed"</formula>
    </cfRule>
    <cfRule type="expression" dxfId="9" priority="3">
      <formula>L2="In Progress"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100-000000000000}">
          <x14:formula1>
            <xm:f>Lists!$A$2:$A$5</xm:f>
          </x14:formula1>
          <xm:sqref>L2:L500</xm:sqref>
        </x14:dataValidation>
        <x14:dataValidation type="list" xr:uid="{00000000-0002-0000-0100-000001000000}">
          <x14:formula1>
            <xm:f>Lists!$B$2:$B$5</xm:f>
          </x14:formula1>
          <xm:sqref>F2:F500</xm:sqref>
        </x14:dataValidation>
        <x14:dataValidation type="list" xr:uid="{00000000-0002-0000-0100-000002000000}">
          <x14:formula1>
            <xm:f>Lists!$C$2:$C$6</xm:f>
          </x14:formula1>
          <xm:sqref>G2:G500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8"/>
  <sheetViews>
    <sheetView zoomScaleNormal="100" zoomScaleSheetLayoutView="100" workbookViewId="0">
      <selection activeCell="K18" sqref="K18"/>
    </sheetView>
  </sheetViews>
  <sheetFormatPr defaultRowHeight="15"/>
  <cols>
    <col min="1" max="1" width="15" bestFit="1" customWidth="1"/>
    <col min="2" max="2" width="56.625" customWidth="1"/>
    <col min="3" max="3" width="16.75" bestFit="1" customWidth="1"/>
    <col min="4" max="4" width="25" bestFit="1" customWidth="1"/>
    <col min="5" max="5" width="15.5" bestFit="1" customWidth="1"/>
    <col min="6" max="6" width="19" bestFit="1" customWidth="1"/>
    <col min="7" max="7" width="16.375" bestFit="1" customWidth="1"/>
    <col min="8" max="8" width="12.5" bestFit="1" customWidth="1"/>
    <col min="9" max="9" width="11.75" bestFit="1" customWidth="1"/>
    <col min="10" max="10" width="16.75" bestFit="1" customWidth="1"/>
    <col min="11" max="11" width="87.125" customWidth="1"/>
    <col min="12" max="12" width="7.625" bestFit="1" customWidth="1"/>
    <col min="13" max="18" width="16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 t="s">
        <v>138</v>
      </c>
      <c r="B2" s="2" t="s">
        <v>139</v>
      </c>
      <c r="C2" s="2" t="s">
        <v>140</v>
      </c>
      <c r="D2" s="2" t="s">
        <v>90</v>
      </c>
      <c r="E2" s="2" t="s">
        <v>141</v>
      </c>
      <c r="F2" s="2" t="s">
        <v>39</v>
      </c>
      <c r="G2" s="2" t="s">
        <v>142</v>
      </c>
      <c r="H2" s="2" t="s">
        <v>65</v>
      </c>
      <c r="I2" s="2" t="s">
        <v>143</v>
      </c>
      <c r="J2" s="2" t="s">
        <v>75</v>
      </c>
      <c r="K2" s="2" t="s">
        <v>144</v>
      </c>
      <c r="L2" s="2" t="s">
        <v>29</v>
      </c>
      <c r="M2" s="2"/>
      <c r="N2" s="2"/>
      <c r="O2" s="2"/>
      <c r="P2" s="2"/>
      <c r="Q2" s="2"/>
      <c r="R2" s="2"/>
    </row>
    <row r="3" spans="1:18">
      <c r="A3" s="2" t="s">
        <v>157</v>
      </c>
      <c r="B3" s="2" t="s">
        <v>158</v>
      </c>
      <c r="C3" s="2" t="s">
        <v>140</v>
      </c>
      <c r="D3" s="2" t="s">
        <v>159</v>
      </c>
      <c r="E3" s="2" t="s">
        <v>141</v>
      </c>
      <c r="F3" s="2" t="s">
        <v>39</v>
      </c>
      <c r="G3" s="2" t="s">
        <v>142</v>
      </c>
      <c r="H3" s="2" t="s">
        <v>65</v>
      </c>
      <c r="I3" s="2" t="s">
        <v>160</v>
      </c>
      <c r="J3" s="2" t="s">
        <v>75</v>
      </c>
      <c r="K3" s="2" t="s">
        <v>161</v>
      </c>
      <c r="L3" s="2" t="s">
        <v>29</v>
      </c>
      <c r="M3" s="2"/>
      <c r="N3" s="2"/>
      <c r="O3" s="2"/>
      <c r="P3" s="2"/>
      <c r="Q3" s="2"/>
      <c r="R3" s="2"/>
    </row>
    <row r="4" spans="1:18">
      <c r="A4" s="2" t="s">
        <v>166</v>
      </c>
      <c r="B4" s="2" t="s">
        <v>167</v>
      </c>
      <c r="C4" s="2" t="s">
        <v>140</v>
      </c>
      <c r="D4" s="2" t="s">
        <v>46</v>
      </c>
      <c r="E4" s="2" t="s">
        <v>141</v>
      </c>
      <c r="F4" s="2" t="s">
        <v>23</v>
      </c>
      <c r="G4" s="2" t="s">
        <v>142</v>
      </c>
      <c r="H4" s="2" t="s">
        <v>40</v>
      </c>
      <c r="I4" s="2" t="s">
        <v>168</v>
      </c>
      <c r="J4" s="2" t="s">
        <v>42</v>
      </c>
      <c r="K4" s="2" t="s">
        <v>169</v>
      </c>
      <c r="L4" s="2" t="s">
        <v>29</v>
      </c>
      <c r="M4" s="2"/>
      <c r="N4" s="2"/>
      <c r="O4" s="2"/>
      <c r="P4" s="2"/>
      <c r="Q4" s="2"/>
      <c r="R4" s="2"/>
    </row>
    <row r="5" spans="1:18">
      <c r="A5" s="2" t="s">
        <v>170</v>
      </c>
      <c r="B5" s="2" t="s">
        <v>171</v>
      </c>
      <c r="C5" s="2" t="s">
        <v>140</v>
      </c>
      <c r="D5" s="2" t="s">
        <v>46</v>
      </c>
      <c r="E5" s="2" t="s">
        <v>141</v>
      </c>
      <c r="F5" s="2" t="s">
        <v>39</v>
      </c>
      <c r="G5" s="2" t="s">
        <v>142</v>
      </c>
      <c r="H5" s="2" t="s">
        <v>40</v>
      </c>
      <c r="I5" s="2" t="s">
        <v>172</v>
      </c>
      <c r="J5" s="2" t="s">
        <v>42</v>
      </c>
      <c r="K5" s="2" t="s">
        <v>173</v>
      </c>
      <c r="L5" s="2" t="s">
        <v>29</v>
      </c>
      <c r="M5" s="2"/>
      <c r="N5" s="2"/>
      <c r="O5" s="2"/>
      <c r="P5" s="2"/>
      <c r="Q5" s="2"/>
      <c r="R5" s="2"/>
    </row>
    <row r="6" spans="1:18">
      <c r="A6" s="2" t="s">
        <v>174</v>
      </c>
      <c r="B6" s="2" t="s">
        <v>175</v>
      </c>
      <c r="C6" s="2" t="s">
        <v>140</v>
      </c>
      <c r="D6" s="2" t="s">
        <v>176</v>
      </c>
      <c r="E6" s="2" t="s">
        <v>141</v>
      </c>
      <c r="F6" s="2" t="s">
        <v>39</v>
      </c>
      <c r="G6" s="2" t="s">
        <v>142</v>
      </c>
      <c r="H6" s="2" t="s">
        <v>40</v>
      </c>
      <c r="I6" s="2" t="s">
        <v>177</v>
      </c>
      <c r="J6" s="2" t="s">
        <v>42</v>
      </c>
      <c r="K6" s="2" t="s">
        <v>178</v>
      </c>
      <c r="L6" s="2" t="s">
        <v>29</v>
      </c>
      <c r="M6" s="2"/>
      <c r="N6" s="2"/>
      <c r="O6" s="2"/>
      <c r="P6" s="2"/>
      <c r="Q6" s="2"/>
      <c r="R6" s="2"/>
    </row>
    <row r="7" spans="1:18">
      <c r="A7" s="2" t="s">
        <v>238</v>
      </c>
      <c r="B7" s="2" t="s">
        <v>239</v>
      </c>
      <c r="C7" s="2" t="s">
        <v>232</v>
      </c>
      <c r="D7" s="2" t="s">
        <v>233</v>
      </c>
      <c r="E7" s="2" t="s">
        <v>141</v>
      </c>
      <c r="F7" s="2" t="s">
        <v>39</v>
      </c>
      <c r="G7" s="2" t="s">
        <v>24</v>
      </c>
      <c r="H7" s="2" t="s">
        <v>234</v>
      </c>
      <c r="I7" s="2" t="s">
        <v>240</v>
      </c>
      <c r="J7" s="2" t="s">
        <v>236</v>
      </c>
      <c r="K7" s="2" t="s">
        <v>241</v>
      </c>
      <c r="L7" s="2" t="s">
        <v>29</v>
      </c>
      <c r="M7" s="2"/>
      <c r="N7" s="2"/>
      <c r="O7" s="2"/>
      <c r="P7" s="2"/>
      <c r="Q7" s="2"/>
      <c r="R7" s="2"/>
    </row>
    <row r="8" spans="1:18">
      <c r="A8" s="2" t="s">
        <v>255</v>
      </c>
      <c r="B8" s="2" t="s">
        <v>256</v>
      </c>
      <c r="C8" s="2" t="s">
        <v>257</v>
      </c>
      <c r="D8" s="2" t="s">
        <v>258</v>
      </c>
      <c r="E8" s="2" t="s">
        <v>141</v>
      </c>
      <c r="F8" s="2" t="s">
        <v>39</v>
      </c>
      <c r="G8" s="2" t="s">
        <v>142</v>
      </c>
      <c r="H8" s="2" t="s">
        <v>259</v>
      </c>
      <c r="I8" s="2" t="s">
        <v>260</v>
      </c>
      <c r="J8" s="2" t="s">
        <v>75</v>
      </c>
      <c r="K8" s="2" t="s">
        <v>261</v>
      </c>
      <c r="L8" s="2" t="s">
        <v>29</v>
      </c>
      <c r="M8" s="2"/>
      <c r="N8" s="2"/>
      <c r="O8" s="2"/>
      <c r="P8" s="2"/>
      <c r="Q8" s="2"/>
      <c r="R8" s="2"/>
    </row>
    <row r="9" spans="1:18">
      <c r="A9" s="2" t="s">
        <v>262</v>
      </c>
      <c r="B9" s="2" t="s">
        <v>263</v>
      </c>
      <c r="C9" s="2" t="s">
        <v>257</v>
      </c>
      <c r="D9" s="2" t="s">
        <v>264</v>
      </c>
      <c r="E9" s="2" t="s">
        <v>141</v>
      </c>
      <c r="F9" s="2" t="s">
        <v>39</v>
      </c>
      <c r="G9" s="2" t="s">
        <v>142</v>
      </c>
      <c r="H9" s="2" t="s">
        <v>135</v>
      </c>
      <c r="I9" s="2" t="s">
        <v>265</v>
      </c>
      <c r="J9" s="2" t="s">
        <v>75</v>
      </c>
      <c r="K9" s="2" t="s">
        <v>266</v>
      </c>
      <c r="L9" s="2" t="s">
        <v>29</v>
      </c>
      <c r="M9" s="2"/>
      <c r="N9" s="2"/>
      <c r="O9" s="2"/>
      <c r="P9" s="2"/>
      <c r="Q9" s="2"/>
      <c r="R9" s="2"/>
    </row>
    <row r="10" spans="1:18">
      <c r="A10" s="2" t="s">
        <v>396</v>
      </c>
      <c r="B10" s="2" t="s">
        <v>397</v>
      </c>
      <c r="C10" s="2" t="s">
        <v>46</v>
      </c>
      <c r="D10" s="2" t="s">
        <v>46</v>
      </c>
      <c r="E10" s="2" t="s">
        <v>141</v>
      </c>
      <c r="F10" s="2" t="s">
        <v>39</v>
      </c>
      <c r="G10" s="2" t="s">
        <v>142</v>
      </c>
      <c r="H10" s="2" t="s">
        <v>40</v>
      </c>
      <c r="I10" s="2" t="s">
        <v>398</v>
      </c>
      <c r="J10" s="2" t="s">
        <v>42</v>
      </c>
      <c r="K10" s="2" t="s">
        <v>399</v>
      </c>
      <c r="L10" s="2" t="s">
        <v>29</v>
      </c>
      <c r="M10" s="2"/>
      <c r="N10" s="2"/>
      <c r="O10" s="2"/>
      <c r="P10" s="2"/>
      <c r="Q10" s="2"/>
      <c r="R10" s="2"/>
    </row>
    <row r="11" spans="1:18">
      <c r="A11" s="2" t="s">
        <v>466</v>
      </c>
      <c r="B11" s="2" t="s">
        <v>467</v>
      </c>
      <c r="C11" s="2" t="s">
        <v>258</v>
      </c>
      <c r="D11" s="2" t="s">
        <v>258</v>
      </c>
      <c r="E11" s="2" t="s">
        <v>141</v>
      </c>
      <c r="F11" s="2" t="s">
        <v>39</v>
      </c>
      <c r="G11" s="2" t="s">
        <v>142</v>
      </c>
      <c r="H11" s="2" t="s">
        <v>259</v>
      </c>
      <c r="I11" s="2" t="s">
        <v>468</v>
      </c>
      <c r="J11" s="2" t="s">
        <v>75</v>
      </c>
      <c r="K11" s="2" t="s">
        <v>469</v>
      </c>
      <c r="L11" s="2" t="s">
        <v>29</v>
      </c>
      <c r="M11" s="2"/>
      <c r="N11" s="2"/>
      <c r="O11" s="2"/>
      <c r="P11" s="2"/>
      <c r="Q11" s="2"/>
      <c r="R11" s="2"/>
    </row>
    <row r="12" spans="1:18">
      <c r="A12" s="2" t="s">
        <v>470</v>
      </c>
      <c r="B12" s="2" t="s">
        <v>471</v>
      </c>
      <c r="C12" s="2" t="s">
        <v>258</v>
      </c>
      <c r="D12" s="2" t="s">
        <v>258</v>
      </c>
      <c r="E12" s="2" t="s">
        <v>141</v>
      </c>
      <c r="F12" s="2" t="s">
        <v>39</v>
      </c>
      <c r="G12" s="2" t="s">
        <v>142</v>
      </c>
      <c r="H12" s="2" t="s">
        <v>259</v>
      </c>
      <c r="I12" s="2" t="s">
        <v>472</v>
      </c>
      <c r="J12" s="2" t="s">
        <v>75</v>
      </c>
      <c r="K12" s="2" t="s">
        <v>473</v>
      </c>
      <c r="L12" s="2" t="s">
        <v>29</v>
      </c>
      <c r="M12" s="2"/>
      <c r="N12" s="2"/>
      <c r="O12" s="2"/>
      <c r="P12" s="2"/>
      <c r="Q12" s="2"/>
      <c r="R12" s="2"/>
    </row>
    <row r="13" spans="1:18">
      <c r="A13" s="2" t="s">
        <v>474</v>
      </c>
      <c r="B13" s="2" t="s">
        <v>475</v>
      </c>
      <c r="C13" s="2" t="s">
        <v>258</v>
      </c>
      <c r="D13" s="2" t="s">
        <v>258</v>
      </c>
      <c r="E13" s="2" t="s">
        <v>141</v>
      </c>
      <c r="F13" s="2" t="s">
        <v>39</v>
      </c>
      <c r="G13" s="2" t="s">
        <v>142</v>
      </c>
      <c r="H13" s="2" t="s">
        <v>259</v>
      </c>
      <c r="I13" s="2" t="s">
        <v>476</v>
      </c>
      <c r="J13" s="2" t="s">
        <v>75</v>
      </c>
      <c r="K13" s="2" t="s">
        <v>477</v>
      </c>
      <c r="L13" s="2" t="s">
        <v>29</v>
      </c>
      <c r="M13" s="2"/>
      <c r="N13" s="2"/>
      <c r="O13" s="2"/>
      <c r="P13" s="2"/>
      <c r="Q13" s="2"/>
      <c r="R13" s="2"/>
    </row>
    <row r="14" spans="1:18">
      <c r="A14" s="2" t="s">
        <v>518</v>
      </c>
      <c r="B14" s="2" t="s">
        <v>519</v>
      </c>
      <c r="C14" s="2" t="s">
        <v>295</v>
      </c>
      <c r="D14" s="2" t="s">
        <v>159</v>
      </c>
      <c r="E14" s="2" t="s">
        <v>141</v>
      </c>
      <c r="F14" s="2" t="s">
        <v>39</v>
      </c>
      <c r="G14" s="2" t="s">
        <v>142</v>
      </c>
      <c r="H14" s="2" t="s">
        <v>65</v>
      </c>
      <c r="I14" s="2" t="s">
        <v>520</v>
      </c>
      <c r="J14" s="2" t="s">
        <v>75</v>
      </c>
      <c r="K14" s="2" t="s">
        <v>521</v>
      </c>
      <c r="L14" s="2" t="s">
        <v>29</v>
      </c>
      <c r="M14" s="2"/>
      <c r="N14" s="2"/>
      <c r="O14" s="2"/>
      <c r="P14" s="2"/>
      <c r="Q14" s="2"/>
      <c r="R14" s="2"/>
    </row>
    <row r="15" spans="1:18">
      <c r="A15" s="2" t="s">
        <v>545</v>
      </c>
      <c r="B15" s="2" t="s">
        <v>546</v>
      </c>
      <c r="C15" s="2" t="s">
        <v>547</v>
      </c>
      <c r="D15" s="2" t="s">
        <v>547</v>
      </c>
      <c r="E15" s="2" t="s">
        <v>141</v>
      </c>
      <c r="F15" s="2" t="s">
        <v>23</v>
      </c>
      <c r="G15" s="2" t="s">
        <v>491</v>
      </c>
      <c r="H15" s="2" t="s">
        <v>73</v>
      </c>
      <c r="I15" s="2" t="s">
        <v>548</v>
      </c>
      <c r="J15" s="2" t="s">
        <v>75</v>
      </c>
      <c r="K15" s="2" t="s">
        <v>549</v>
      </c>
      <c r="L15" s="2" t="s">
        <v>29</v>
      </c>
      <c r="M15" s="2"/>
      <c r="N15" s="2"/>
      <c r="O15" s="2"/>
      <c r="P15" s="2"/>
      <c r="Q15" s="2"/>
      <c r="R15" s="2"/>
    </row>
    <row r="16" spans="1:18">
      <c r="A16" s="2" t="s">
        <v>550</v>
      </c>
      <c r="B16" s="2" t="s">
        <v>551</v>
      </c>
      <c r="C16" s="2" t="s">
        <v>547</v>
      </c>
      <c r="D16" s="2" t="s">
        <v>547</v>
      </c>
      <c r="E16" s="2" t="s">
        <v>141</v>
      </c>
      <c r="F16" s="2" t="s">
        <v>23</v>
      </c>
      <c r="G16" s="2" t="s">
        <v>491</v>
      </c>
      <c r="H16" s="2" t="s">
        <v>73</v>
      </c>
      <c r="I16" s="2" t="s">
        <v>552</v>
      </c>
      <c r="J16" s="2" t="s">
        <v>75</v>
      </c>
      <c r="K16" s="2" t="s">
        <v>553</v>
      </c>
      <c r="L16" s="2" t="s">
        <v>29</v>
      </c>
      <c r="M16" s="2"/>
      <c r="N16" s="2"/>
      <c r="O16" s="2"/>
      <c r="P16" s="2"/>
      <c r="Q16" s="2"/>
      <c r="R16" s="2"/>
    </row>
    <row r="17" spans="1:18">
      <c r="A17" s="2" t="s">
        <v>554</v>
      </c>
      <c r="B17" s="2" t="s">
        <v>555</v>
      </c>
      <c r="C17" s="2" t="s">
        <v>547</v>
      </c>
      <c r="D17" s="2" t="s">
        <v>547</v>
      </c>
      <c r="E17" s="2" t="s">
        <v>141</v>
      </c>
      <c r="F17" s="2" t="s">
        <v>23</v>
      </c>
      <c r="G17" s="2" t="s">
        <v>491</v>
      </c>
      <c r="H17" s="2" t="s">
        <v>73</v>
      </c>
      <c r="I17" s="2" t="s">
        <v>556</v>
      </c>
      <c r="J17" s="2" t="s">
        <v>75</v>
      </c>
      <c r="K17" s="2" t="s">
        <v>557</v>
      </c>
      <c r="L17" s="2" t="s">
        <v>29</v>
      </c>
      <c r="M17" s="2"/>
      <c r="N17" s="2"/>
      <c r="O17" s="2"/>
      <c r="P17" s="2"/>
      <c r="Q17" s="2"/>
      <c r="R17" s="2"/>
    </row>
    <row r="18" spans="1:18" ht="33.75">
      <c r="A18" s="2" t="s">
        <v>562</v>
      </c>
      <c r="B18" s="2" t="s">
        <v>563</v>
      </c>
      <c r="C18" s="2" t="s">
        <v>547</v>
      </c>
      <c r="D18" s="2" t="s">
        <v>564</v>
      </c>
      <c r="E18" s="2" t="s">
        <v>141</v>
      </c>
      <c r="F18" s="2" t="s">
        <v>23</v>
      </c>
      <c r="G18" s="2" t="s">
        <v>142</v>
      </c>
      <c r="H18" s="2" t="s">
        <v>65</v>
      </c>
      <c r="I18" s="2" t="s">
        <v>565</v>
      </c>
      <c r="J18" s="2" t="s">
        <v>75</v>
      </c>
      <c r="K18" s="2" t="s">
        <v>566</v>
      </c>
      <c r="L18" s="2" t="s">
        <v>29</v>
      </c>
      <c r="M18" s="2"/>
      <c r="N18" s="2"/>
      <c r="O18" s="2"/>
      <c r="P18" s="2"/>
      <c r="Q18" s="2"/>
      <c r="R18" s="2"/>
    </row>
  </sheetData>
  <conditionalFormatting sqref="L2:L500">
    <cfRule type="expression" dxfId="8" priority="1">
      <formula>L2="Verified"</formula>
    </cfRule>
    <cfRule type="expression" dxfId="7" priority="2">
      <formula>L2="Failed"</formula>
    </cfRule>
    <cfRule type="expression" dxfId="6" priority="3">
      <formula>L2="In Progress"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200-000000000000}">
          <x14:formula1>
            <xm:f>Lists!$A$2:$A$5</xm:f>
          </x14:formula1>
          <xm:sqref>L2:L500</xm:sqref>
        </x14:dataValidation>
        <x14:dataValidation type="list" xr:uid="{00000000-0002-0000-0200-000001000000}">
          <x14:formula1>
            <xm:f>Lists!$B$2:$B$5</xm:f>
          </x14:formula1>
          <xm:sqref>F2:F500</xm:sqref>
        </x14:dataValidation>
        <x14:dataValidation type="list" xr:uid="{00000000-0002-0000-0200-000002000000}">
          <x14:formula1>
            <xm:f>Lists!$C$2:$C$6</xm:f>
          </x14:formula1>
          <xm:sqref>G2:G500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57"/>
  <sheetViews>
    <sheetView topLeftCell="G1" zoomScaleNormal="100" zoomScaleSheetLayoutView="100" workbookViewId="0"/>
  </sheetViews>
  <sheetFormatPr defaultRowHeight="15"/>
  <cols>
    <col min="1" max="1" width="15" bestFit="1" customWidth="1"/>
    <col min="2" max="2" width="58.125" customWidth="1"/>
    <col min="3" max="3" width="19.125" bestFit="1" customWidth="1"/>
    <col min="4" max="4" width="25" bestFit="1" customWidth="1"/>
    <col min="5" max="5" width="16.75" bestFit="1" customWidth="1"/>
    <col min="6" max="6" width="19" bestFit="1" customWidth="1"/>
    <col min="7" max="7" width="16.375" bestFit="1" customWidth="1"/>
    <col min="8" max="8" width="12.5" bestFit="1" customWidth="1"/>
    <col min="9" max="9" width="11.875" bestFit="1" customWidth="1"/>
    <col min="10" max="10" width="16.75" bestFit="1" customWidth="1"/>
    <col min="11" max="11" width="95.25" customWidth="1"/>
    <col min="12" max="12" width="7.625" bestFit="1" customWidth="1"/>
    <col min="13" max="18" width="16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/>
      <c r="N2" s="2"/>
      <c r="O2" s="2"/>
      <c r="P2" s="2"/>
      <c r="Q2" s="2"/>
      <c r="R2" s="2"/>
    </row>
    <row r="3" spans="1:18">
      <c r="A3" s="2" t="s">
        <v>30</v>
      </c>
      <c r="B3" s="2" t="s">
        <v>31</v>
      </c>
      <c r="C3" s="2" t="s">
        <v>20</v>
      </c>
      <c r="D3" s="2" t="s">
        <v>32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33</v>
      </c>
      <c r="J3" s="2" t="s">
        <v>34</v>
      </c>
      <c r="K3" s="2" t="s">
        <v>35</v>
      </c>
      <c r="L3" s="2" t="s">
        <v>29</v>
      </c>
      <c r="M3" s="2"/>
      <c r="N3" s="2"/>
      <c r="O3" s="2"/>
      <c r="P3" s="2"/>
      <c r="Q3" s="2"/>
      <c r="R3" s="2"/>
    </row>
    <row r="4" spans="1:18">
      <c r="A4" s="2" t="s">
        <v>36</v>
      </c>
      <c r="B4" s="2" t="s">
        <v>37</v>
      </c>
      <c r="C4" s="2" t="s">
        <v>20</v>
      </c>
      <c r="D4" s="2" t="s">
        <v>38</v>
      </c>
      <c r="E4" s="2" t="s">
        <v>22</v>
      </c>
      <c r="F4" s="2" t="s">
        <v>39</v>
      </c>
      <c r="G4" s="2" t="s">
        <v>24</v>
      </c>
      <c r="H4" s="2" t="s">
        <v>40</v>
      </c>
      <c r="I4" s="2" t="s">
        <v>41</v>
      </c>
      <c r="J4" s="2" t="s">
        <v>42</v>
      </c>
      <c r="K4" s="2" t="s">
        <v>43</v>
      </c>
      <c r="L4" s="2" t="s">
        <v>29</v>
      </c>
      <c r="M4" s="2"/>
      <c r="N4" s="2"/>
      <c r="O4" s="2"/>
      <c r="P4" s="2"/>
      <c r="Q4" s="2"/>
      <c r="R4" s="2"/>
    </row>
    <row r="5" spans="1:18">
      <c r="A5" s="2" t="s">
        <v>62</v>
      </c>
      <c r="B5" s="2" t="s">
        <v>63</v>
      </c>
      <c r="C5" s="2" t="s">
        <v>20</v>
      </c>
      <c r="D5" s="2" t="s">
        <v>64</v>
      </c>
      <c r="E5" s="2" t="s">
        <v>22</v>
      </c>
      <c r="F5" s="2" t="s">
        <v>39</v>
      </c>
      <c r="G5" s="2" t="s">
        <v>24</v>
      </c>
      <c r="H5" s="2" t="s">
        <v>65</v>
      </c>
      <c r="I5" s="2" t="s">
        <v>66</v>
      </c>
      <c r="J5" s="2" t="s">
        <v>34</v>
      </c>
      <c r="K5" s="2" t="s">
        <v>67</v>
      </c>
      <c r="L5" s="2" t="s">
        <v>29</v>
      </c>
      <c r="M5" s="2"/>
      <c r="N5" s="2"/>
      <c r="O5" s="2"/>
      <c r="P5" s="2"/>
      <c r="Q5" s="2"/>
      <c r="R5" s="2"/>
    </row>
    <row r="6" spans="1:18">
      <c r="A6" s="2" t="s">
        <v>77</v>
      </c>
      <c r="B6" s="2" t="s">
        <v>78</v>
      </c>
      <c r="C6" s="2" t="s">
        <v>20</v>
      </c>
      <c r="D6" s="2" t="s">
        <v>32</v>
      </c>
      <c r="E6" s="2" t="s">
        <v>22</v>
      </c>
      <c r="F6" s="2" t="s">
        <v>39</v>
      </c>
      <c r="G6" s="2" t="s">
        <v>24</v>
      </c>
      <c r="H6" s="2" t="s">
        <v>25</v>
      </c>
      <c r="I6" s="2" t="s">
        <v>79</v>
      </c>
      <c r="J6" s="2" t="s">
        <v>34</v>
      </c>
      <c r="K6" s="2" t="s">
        <v>80</v>
      </c>
      <c r="L6" s="2" t="s">
        <v>29</v>
      </c>
      <c r="M6" s="2"/>
      <c r="N6" s="2"/>
      <c r="O6" s="2"/>
      <c r="P6" s="2"/>
      <c r="Q6" s="2"/>
      <c r="R6" s="2"/>
    </row>
    <row r="7" spans="1:18">
      <c r="A7" s="2" t="s">
        <v>81</v>
      </c>
      <c r="B7" s="2" t="s">
        <v>82</v>
      </c>
      <c r="C7" s="2" t="s">
        <v>20</v>
      </c>
      <c r="D7" s="2" t="s">
        <v>83</v>
      </c>
      <c r="E7" s="2" t="s">
        <v>22</v>
      </c>
      <c r="F7" s="2" t="s">
        <v>39</v>
      </c>
      <c r="G7" s="2" t="s">
        <v>24</v>
      </c>
      <c r="H7" s="2" t="s">
        <v>84</v>
      </c>
      <c r="I7" s="2" t="s">
        <v>85</v>
      </c>
      <c r="J7" s="2" t="s">
        <v>34</v>
      </c>
      <c r="K7" s="2" t="s">
        <v>86</v>
      </c>
      <c r="L7" s="2" t="s">
        <v>29</v>
      </c>
      <c r="M7" s="2"/>
      <c r="N7" s="2"/>
      <c r="O7" s="2"/>
      <c r="P7" s="2"/>
      <c r="Q7" s="2"/>
      <c r="R7" s="2"/>
    </row>
    <row r="8" spans="1:18">
      <c r="A8" s="2" t="s">
        <v>87</v>
      </c>
      <c r="B8" s="2" t="s">
        <v>88</v>
      </c>
      <c r="C8" s="2" t="s">
        <v>89</v>
      </c>
      <c r="D8" s="2" t="s">
        <v>90</v>
      </c>
      <c r="E8" s="2" t="s">
        <v>22</v>
      </c>
      <c r="F8" s="2" t="s">
        <v>23</v>
      </c>
      <c r="G8" s="2" t="s">
        <v>24</v>
      </c>
      <c r="H8" s="2" t="s">
        <v>25</v>
      </c>
      <c r="I8" s="2" t="s">
        <v>91</v>
      </c>
      <c r="J8" s="2" t="s">
        <v>34</v>
      </c>
      <c r="K8" s="2" t="s">
        <v>92</v>
      </c>
      <c r="L8" s="2" t="s">
        <v>29</v>
      </c>
      <c r="M8" s="2"/>
      <c r="N8" s="2"/>
      <c r="O8" s="2"/>
      <c r="P8" s="2"/>
      <c r="Q8" s="2"/>
      <c r="R8" s="2"/>
    </row>
    <row r="9" spans="1:18">
      <c r="A9" s="2" t="s">
        <v>93</v>
      </c>
      <c r="B9" s="2" t="s">
        <v>94</v>
      </c>
      <c r="C9" s="2" t="s">
        <v>89</v>
      </c>
      <c r="D9" s="2" t="s">
        <v>95</v>
      </c>
      <c r="E9" s="2" t="s">
        <v>22</v>
      </c>
      <c r="F9" s="2" t="s">
        <v>23</v>
      </c>
      <c r="G9" s="2" t="s">
        <v>24</v>
      </c>
      <c r="H9" s="2" t="s">
        <v>84</v>
      </c>
      <c r="I9" s="2" t="s">
        <v>96</v>
      </c>
      <c r="J9" s="2" t="s">
        <v>34</v>
      </c>
      <c r="K9" s="2" t="s">
        <v>97</v>
      </c>
      <c r="L9" s="2" t="s">
        <v>29</v>
      </c>
      <c r="M9" s="2"/>
      <c r="N9" s="2"/>
      <c r="O9" s="2"/>
      <c r="P9" s="2"/>
      <c r="Q9" s="2"/>
      <c r="R9" s="2"/>
    </row>
    <row r="10" spans="1:18">
      <c r="A10" s="2" t="s">
        <v>107</v>
      </c>
      <c r="B10" s="2" t="s">
        <v>108</v>
      </c>
      <c r="C10" s="2" t="s">
        <v>89</v>
      </c>
      <c r="D10" s="2" t="s">
        <v>109</v>
      </c>
      <c r="E10" s="2" t="s">
        <v>22</v>
      </c>
      <c r="F10" s="2" t="s">
        <v>39</v>
      </c>
      <c r="G10" s="2" t="s">
        <v>24</v>
      </c>
      <c r="H10" s="2" t="s">
        <v>65</v>
      </c>
      <c r="I10" s="2" t="s">
        <v>110</v>
      </c>
      <c r="J10" s="2" t="s">
        <v>34</v>
      </c>
      <c r="K10" s="2" t="s">
        <v>111</v>
      </c>
      <c r="L10" s="2" t="s">
        <v>29</v>
      </c>
      <c r="M10" s="2"/>
      <c r="N10" s="2"/>
      <c r="O10" s="2"/>
      <c r="P10" s="2"/>
      <c r="Q10" s="2"/>
      <c r="R10" s="2"/>
    </row>
    <row r="11" spans="1:18">
      <c r="A11" s="2" t="s">
        <v>117</v>
      </c>
      <c r="B11" s="2" t="s">
        <v>118</v>
      </c>
      <c r="C11" s="2" t="s">
        <v>89</v>
      </c>
      <c r="D11" s="2" t="s">
        <v>119</v>
      </c>
      <c r="E11" s="2" t="s">
        <v>22</v>
      </c>
      <c r="F11" s="2" t="s">
        <v>39</v>
      </c>
      <c r="G11" s="2" t="s">
        <v>24</v>
      </c>
      <c r="H11" s="2" t="s">
        <v>120</v>
      </c>
      <c r="I11" s="2" t="s">
        <v>121</v>
      </c>
      <c r="J11" s="2" t="s">
        <v>122</v>
      </c>
      <c r="K11" s="2" t="s">
        <v>123</v>
      </c>
      <c r="L11" s="2" t="s">
        <v>29</v>
      </c>
      <c r="M11" s="2"/>
      <c r="N11" s="2"/>
      <c r="O11" s="2"/>
      <c r="P11" s="2"/>
      <c r="Q11" s="2"/>
      <c r="R11" s="2"/>
    </row>
    <row r="12" spans="1:18">
      <c r="A12" s="2" t="s">
        <v>124</v>
      </c>
      <c r="B12" s="2" t="s">
        <v>125</v>
      </c>
      <c r="C12" s="2" t="s">
        <v>89</v>
      </c>
      <c r="D12" s="2" t="s">
        <v>119</v>
      </c>
      <c r="E12" s="2" t="s">
        <v>22</v>
      </c>
      <c r="F12" s="2" t="s">
        <v>39</v>
      </c>
      <c r="G12" s="2" t="s">
        <v>24</v>
      </c>
      <c r="H12" s="2" t="s">
        <v>120</v>
      </c>
      <c r="I12" s="2" t="s">
        <v>126</v>
      </c>
      <c r="J12" s="2" t="s">
        <v>122</v>
      </c>
      <c r="K12" s="2" t="s">
        <v>127</v>
      </c>
      <c r="L12" s="2" t="s">
        <v>29</v>
      </c>
      <c r="M12" s="2"/>
      <c r="N12" s="2"/>
      <c r="O12" s="2"/>
      <c r="P12" s="2"/>
      <c r="Q12" s="2"/>
      <c r="R12" s="2"/>
    </row>
    <row r="13" spans="1:18">
      <c r="A13" s="2" t="s">
        <v>128</v>
      </c>
      <c r="B13" s="2" t="s">
        <v>129</v>
      </c>
      <c r="C13" s="2" t="s">
        <v>89</v>
      </c>
      <c r="D13" s="2" t="s">
        <v>64</v>
      </c>
      <c r="E13" s="2" t="s">
        <v>22</v>
      </c>
      <c r="F13" s="2" t="s">
        <v>39</v>
      </c>
      <c r="G13" s="2" t="s">
        <v>24</v>
      </c>
      <c r="H13" s="2" t="s">
        <v>65</v>
      </c>
      <c r="I13" s="2" t="s">
        <v>130</v>
      </c>
      <c r="J13" s="2" t="s">
        <v>34</v>
      </c>
      <c r="K13" s="2" t="s">
        <v>131</v>
      </c>
      <c r="L13" s="2" t="s">
        <v>29</v>
      </c>
      <c r="M13" s="2"/>
      <c r="N13" s="2"/>
      <c r="O13" s="2"/>
      <c r="P13" s="2"/>
      <c r="Q13" s="2"/>
      <c r="R13" s="2"/>
    </row>
    <row r="14" spans="1:18">
      <c r="A14" s="2" t="s">
        <v>162</v>
      </c>
      <c r="B14" s="2" t="s">
        <v>163</v>
      </c>
      <c r="C14" s="2" t="s">
        <v>140</v>
      </c>
      <c r="D14" s="2" t="s">
        <v>46</v>
      </c>
      <c r="E14" s="2" t="s">
        <v>22</v>
      </c>
      <c r="F14" s="2" t="s">
        <v>39</v>
      </c>
      <c r="G14" s="2" t="s">
        <v>24</v>
      </c>
      <c r="H14" s="2" t="s">
        <v>40</v>
      </c>
      <c r="I14" s="2" t="s">
        <v>164</v>
      </c>
      <c r="J14" s="2" t="s">
        <v>42</v>
      </c>
      <c r="K14" s="2" t="s">
        <v>165</v>
      </c>
      <c r="L14" s="2" t="s">
        <v>29</v>
      </c>
      <c r="M14" s="2"/>
      <c r="N14" s="2"/>
      <c r="O14" s="2"/>
      <c r="P14" s="2"/>
      <c r="Q14" s="2"/>
      <c r="R14" s="2"/>
    </row>
    <row r="15" spans="1:18">
      <c r="A15" s="2" t="s">
        <v>179</v>
      </c>
      <c r="B15" s="2" t="s">
        <v>180</v>
      </c>
      <c r="C15" s="2" t="s">
        <v>140</v>
      </c>
      <c r="D15" s="2" t="s">
        <v>46</v>
      </c>
      <c r="E15" s="2" t="s">
        <v>22</v>
      </c>
      <c r="F15" s="2" t="s">
        <v>23</v>
      </c>
      <c r="G15" s="2" t="s">
        <v>24</v>
      </c>
      <c r="H15" s="2" t="s">
        <v>40</v>
      </c>
      <c r="I15" s="2" t="s">
        <v>181</v>
      </c>
      <c r="J15" s="2" t="s">
        <v>42</v>
      </c>
      <c r="K15" s="2" t="s">
        <v>182</v>
      </c>
      <c r="L15" s="2" t="s">
        <v>29</v>
      </c>
      <c r="M15" s="2"/>
      <c r="N15" s="2"/>
      <c r="O15" s="2"/>
      <c r="P15" s="2"/>
      <c r="Q15" s="2"/>
      <c r="R15" s="2"/>
    </row>
    <row r="16" spans="1:18">
      <c r="A16" s="2" t="s">
        <v>189</v>
      </c>
      <c r="B16" s="2" t="s">
        <v>190</v>
      </c>
      <c r="C16" s="2" t="s">
        <v>185</v>
      </c>
      <c r="D16" s="2" t="s">
        <v>46</v>
      </c>
      <c r="E16" s="2" t="s">
        <v>22</v>
      </c>
      <c r="F16" s="2" t="s">
        <v>39</v>
      </c>
      <c r="G16" s="2" t="s">
        <v>24</v>
      </c>
      <c r="H16" s="2" t="s">
        <v>40</v>
      </c>
      <c r="I16" s="2" t="s">
        <v>191</v>
      </c>
      <c r="J16" s="2" t="s">
        <v>42</v>
      </c>
      <c r="K16" s="2" t="s">
        <v>192</v>
      </c>
      <c r="L16" s="2" t="s">
        <v>29</v>
      </c>
      <c r="M16" s="2"/>
      <c r="N16" s="2"/>
      <c r="O16" s="2"/>
      <c r="P16" s="2"/>
      <c r="Q16" s="2"/>
      <c r="R16" s="2"/>
    </row>
    <row r="17" spans="1:18">
      <c r="A17" s="2" t="s">
        <v>193</v>
      </c>
      <c r="B17" s="2" t="s">
        <v>194</v>
      </c>
      <c r="C17" s="2" t="s">
        <v>185</v>
      </c>
      <c r="D17" s="2" t="s">
        <v>119</v>
      </c>
      <c r="E17" s="2" t="s">
        <v>22</v>
      </c>
      <c r="F17" s="2" t="s">
        <v>39</v>
      </c>
      <c r="G17" s="2" t="s">
        <v>24</v>
      </c>
      <c r="H17" s="2" t="s">
        <v>120</v>
      </c>
      <c r="I17" s="2" t="s">
        <v>195</v>
      </c>
      <c r="J17" s="2" t="s">
        <v>122</v>
      </c>
      <c r="K17" s="2" t="s">
        <v>196</v>
      </c>
      <c r="L17" s="2" t="s">
        <v>29</v>
      </c>
      <c r="M17" s="2"/>
      <c r="N17" s="2"/>
      <c r="O17" s="2"/>
      <c r="P17" s="2"/>
      <c r="Q17" s="2"/>
      <c r="R17" s="2"/>
    </row>
    <row r="18" spans="1:18">
      <c r="A18" s="2" t="s">
        <v>201</v>
      </c>
      <c r="B18" s="2" t="s">
        <v>202</v>
      </c>
      <c r="C18" s="2" t="s">
        <v>185</v>
      </c>
      <c r="D18" s="2" t="s">
        <v>32</v>
      </c>
      <c r="E18" s="2" t="s">
        <v>22</v>
      </c>
      <c r="F18" s="2" t="s">
        <v>39</v>
      </c>
      <c r="G18" s="2" t="s">
        <v>24</v>
      </c>
      <c r="H18" s="2" t="s">
        <v>25</v>
      </c>
      <c r="I18" s="2" t="s">
        <v>203</v>
      </c>
      <c r="J18" s="2" t="s">
        <v>34</v>
      </c>
      <c r="K18" s="2" t="s">
        <v>204</v>
      </c>
      <c r="L18" s="2" t="s">
        <v>29</v>
      </c>
      <c r="M18" s="2"/>
      <c r="N18" s="2"/>
      <c r="O18" s="2"/>
      <c r="P18" s="2"/>
      <c r="Q18" s="2"/>
      <c r="R18" s="2"/>
    </row>
    <row r="19" spans="1:18">
      <c r="A19" s="2" t="s">
        <v>205</v>
      </c>
      <c r="B19" s="2" t="s">
        <v>206</v>
      </c>
      <c r="C19" s="2" t="s">
        <v>207</v>
      </c>
      <c r="D19" s="2" t="s">
        <v>208</v>
      </c>
      <c r="E19" s="2" t="s">
        <v>22</v>
      </c>
      <c r="F19" s="2" t="s">
        <v>39</v>
      </c>
      <c r="G19" s="2" t="s">
        <v>24</v>
      </c>
      <c r="H19" s="2" t="s">
        <v>84</v>
      </c>
      <c r="I19" s="2" t="s">
        <v>209</v>
      </c>
      <c r="J19" s="2" t="s">
        <v>34</v>
      </c>
      <c r="K19" s="2" t="s">
        <v>210</v>
      </c>
      <c r="L19" s="2" t="s">
        <v>29</v>
      </c>
      <c r="M19" s="2"/>
      <c r="N19" s="2"/>
      <c r="O19" s="2"/>
      <c r="P19" s="2"/>
      <c r="Q19" s="2"/>
      <c r="R19" s="2"/>
    </row>
    <row r="20" spans="1:18">
      <c r="A20" s="2" t="s">
        <v>211</v>
      </c>
      <c r="B20" s="2" t="s">
        <v>212</v>
      </c>
      <c r="C20" s="2" t="s">
        <v>207</v>
      </c>
      <c r="D20" s="2" t="s">
        <v>119</v>
      </c>
      <c r="E20" s="2" t="s">
        <v>22</v>
      </c>
      <c r="F20" s="2" t="s">
        <v>39</v>
      </c>
      <c r="G20" s="2" t="s">
        <v>24</v>
      </c>
      <c r="H20" s="2" t="s">
        <v>120</v>
      </c>
      <c r="I20" s="2" t="s">
        <v>213</v>
      </c>
      <c r="J20" s="2" t="s">
        <v>122</v>
      </c>
      <c r="K20" s="2" t="s">
        <v>214</v>
      </c>
      <c r="L20" s="2" t="s">
        <v>29</v>
      </c>
      <c r="M20" s="2"/>
      <c r="N20" s="2"/>
      <c r="O20" s="2"/>
      <c r="P20" s="2"/>
      <c r="Q20" s="2"/>
      <c r="R20" s="2"/>
    </row>
    <row r="21" spans="1:18">
      <c r="A21" s="2" t="s">
        <v>225</v>
      </c>
      <c r="B21" s="2" t="s">
        <v>226</v>
      </c>
      <c r="C21" s="2" t="s">
        <v>207</v>
      </c>
      <c r="D21" s="2" t="s">
        <v>227</v>
      </c>
      <c r="E21" s="2" t="s">
        <v>22</v>
      </c>
      <c r="F21" s="2" t="s">
        <v>39</v>
      </c>
      <c r="G21" s="2" t="s">
        <v>24</v>
      </c>
      <c r="H21" s="2" t="s">
        <v>25</v>
      </c>
      <c r="I21" s="2" t="s">
        <v>228</v>
      </c>
      <c r="J21" s="2" t="s">
        <v>34</v>
      </c>
      <c r="K21" s="2" t="s">
        <v>229</v>
      </c>
      <c r="L21" s="2" t="s">
        <v>29</v>
      </c>
      <c r="M21" s="2"/>
      <c r="N21" s="2"/>
      <c r="O21" s="2"/>
      <c r="P21" s="2"/>
      <c r="Q21" s="2"/>
      <c r="R21" s="2"/>
    </row>
    <row r="22" spans="1:18">
      <c r="A22" s="2" t="s">
        <v>242</v>
      </c>
      <c r="B22" s="2" t="s">
        <v>243</v>
      </c>
      <c r="C22" s="2" t="s">
        <v>232</v>
      </c>
      <c r="D22" s="2" t="s">
        <v>233</v>
      </c>
      <c r="E22" s="2" t="s">
        <v>22</v>
      </c>
      <c r="F22" s="2" t="s">
        <v>23</v>
      </c>
      <c r="G22" s="2" t="s">
        <v>24</v>
      </c>
      <c r="H22" s="2" t="s">
        <v>234</v>
      </c>
      <c r="I22" s="2" t="s">
        <v>244</v>
      </c>
      <c r="J22" s="2" t="s">
        <v>236</v>
      </c>
      <c r="K22" s="2" t="s">
        <v>245</v>
      </c>
      <c r="L22" s="2" t="s">
        <v>29</v>
      </c>
      <c r="M22" s="2"/>
      <c r="N22" s="2"/>
      <c r="O22" s="2"/>
      <c r="P22" s="2"/>
      <c r="Q22" s="2"/>
      <c r="R22" s="2"/>
    </row>
    <row r="23" spans="1:18">
      <c r="A23" s="2" t="s">
        <v>251</v>
      </c>
      <c r="B23" s="2" t="s">
        <v>252</v>
      </c>
      <c r="C23" s="2" t="s">
        <v>232</v>
      </c>
      <c r="D23" s="2" t="s">
        <v>233</v>
      </c>
      <c r="E23" s="2" t="s">
        <v>22</v>
      </c>
      <c r="F23" s="2" t="s">
        <v>39</v>
      </c>
      <c r="G23" s="2" t="s">
        <v>24</v>
      </c>
      <c r="H23" s="2" t="s">
        <v>234</v>
      </c>
      <c r="I23" s="2" t="s">
        <v>253</v>
      </c>
      <c r="J23" s="2" t="s">
        <v>236</v>
      </c>
      <c r="K23" s="2" t="s">
        <v>254</v>
      </c>
      <c r="L23" s="2" t="s">
        <v>29</v>
      </c>
      <c r="M23" s="2"/>
      <c r="N23" s="2"/>
      <c r="O23" s="2"/>
      <c r="P23" s="2"/>
      <c r="Q23" s="2"/>
      <c r="R23" s="2"/>
    </row>
    <row r="24" spans="1:18">
      <c r="A24" s="2" t="s">
        <v>271</v>
      </c>
      <c r="B24" s="2" t="s">
        <v>272</v>
      </c>
      <c r="C24" s="2" t="s">
        <v>257</v>
      </c>
      <c r="D24" s="2" t="s">
        <v>273</v>
      </c>
      <c r="E24" s="2" t="s">
        <v>22</v>
      </c>
      <c r="F24" s="2" t="s">
        <v>39</v>
      </c>
      <c r="G24" s="2" t="s">
        <v>24</v>
      </c>
      <c r="H24" s="2" t="s">
        <v>135</v>
      </c>
      <c r="I24" s="2" t="s">
        <v>274</v>
      </c>
      <c r="J24" s="2" t="s">
        <v>34</v>
      </c>
      <c r="K24" s="2" t="s">
        <v>275</v>
      </c>
      <c r="L24" s="2" t="s">
        <v>29</v>
      </c>
      <c r="M24" s="2"/>
      <c r="N24" s="2"/>
      <c r="O24" s="2"/>
      <c r="P24" s="2"/>
      <c r="Q24" s="2"/>
      <c r="R24" s="2"/>
    </row>
    <row r="25" spans="1:18">
      <c r="A25" s="2" t="s">
        <v>280</v>
      </c>
      <c r="B25" s="2" t="s">
        <v>281</v>
      </c>
      <c r="C25" s="2" t="s">
        <v>282</v>
      </c>
      <c r="D25" s="2" t="s">
        <v>159</v>
      </c>
      <c r="E25" s="2" t="s">
        <v>22</v>
      </c>
      <c r="F25" s="2" t="s">
        <v>39</v>
      </c>
      <c r="G25" s="2" t="s">
        <v>24</v>
      </c>
      <c r="H25" s="2" t="s">
        <v>65</v>
      </c>
      <c r="I25" s="2" t="s">
        <v>283</v>
      </c>
      <c r="J25" s="2" t="s">
        <v>34</v>
      </c>
      <c r="K25" s="2" t="s">
        <v>284</v>
      </c>
      <c r="L25" s="2" t="s">
        <v>29</v>
      </c>
      <c r="M25" s="2"/>
      <c r="N25" s="2"/>
      <c r="O25" s="2"/>
      <c r="P25" s="2"/>
      <c r="Q25" s="2"/>
      <c r="R25" s="2"/>
    </row>
    <row r="26" spans="1:18">
      <c r="A26" s="2" t="s">
        <v>285</v>
      </c>
      <c r="B26" s="2" t="s">
        <v>286</v>
      </c>
      <c r="C26" s="2" t="s">
        <v>282</v>
      </c>
      <c r="D26" s="2" t="s">
        <v>64</v>
      </c>
      <c r="E26" s="2" t="s">
        <v>22</v>
      </c>
      <c r="F26" s="2" t="s">
        <v>39</v>
      </c>
      <c r="G26" s="2" t="s">
        <v>24</v>
      </c>
      <c r="H26" s="2" t="s">
        <v>65</v>
      </c>
      <c r="I26" s="2" t="s">
        <v>287</v>
      </c>
      <c r="J26" s="2" t="s">
        <v>34</v>
      </c>
      <c r="K26" s="2" t="s">
        <v>288</v>
      </c>
      <c r="L26" s="2" t="s">
        <v>29</v>
      </c>
      <c r="M26" s="2"/>
      <c r="N26" s="2"/>
      <c r="O26" s="2"/>
      <c r="P26" s="2"/>
      <c r="Q26" s="2"/>
      <c r="R26" s="2"/>
    </row>
    <row r="27" spans="1:18">
      <c r="A27" s="2" t="s">
        <v>289</v>
      </c>
      <c r="B27" s="2" t="s">
        <v>290</v>
      </c>
      <c r="C27" s="2" t="s">
        <v>282</v>
      </c>
      <c r="D27" s="2" t="s">
        <v>119</v>
      </c>
      <c r="E27" s="2" t="s">
        <v>22</v>
      </c>
      <c r="F27" s="2" t="s">
        <v>39</v>
      </c>
      <c r="G27" s="2" t="s">
        <v>24</v>
      </c>
      <c r="H27" s="2" t="s">
        <v>120</v>
      </c>
      <c r="I27" s="2" t="s">
        <v>291</v>
      </c>
      <c r="J27" s="2" t="s">
        <v>122</v>
      </c>
      <c r="K27" s="2" t="s">
        <v>292</v>
      </c>
      <c r="L27" s="2" t="s">
        <v>29</v>
      </c>
      <c r="M27" s="2"/>
      <c r="N27" s="2"/>
      <c r="O27" s="2"/>
      <c r="P27" s="2"/>
      <c r="Q27" s="2"/>
      <c r="R27" s="2"/>
    </row>
    <row r="28" spans="1:18">
      <c r="A28" s="2" t="s">
        <v>293</v>
      </c>
      <c r="B28" s="2" t="s">
        <v>294</v>
      </c>
      <c r="C28" s="2" t="s">
        <v>282</v>
      </c>
      <c r="D28" s="2" t="s">
        <v>295</v>
      </c>
      <c r="E28" s="2" t="s">
        <v>22</v>
      </c>
      <c r="F28" s="2" t="s">
        <v>39</v>
      </c>
      <c r="G28" s="2" t="s">
        <v>24</v>
      </c>
      <c r="H28" s="2" t="s">
        <v>135</v>
      </c>
      <c r="I28" s="2" t="s">
        <v>296</v>
      </c>
      <c r="J28" s="2" t="s">
        <v>34</v>
      </c>
      <c r="K28" s="2" t="s">
        <v>297</v>
      </c>
      <c r="L28" s="2" t="s">
        <v>29</v>
      </c>
      <c r="M28" s="2"/>
      <c r="N28" s="2"/>
      <c r="O28" s="2"/>
      <c r="P28" s="2"/>
      <c r="Q28" s="2"/>
      <c r="R28" s="2"/>
    </row>
    <row r="29" spans="1:18">
      <c r="A29" s="2" t="s">
        <v>311</v>
      </c>
      <c r="B29" s="2" t="s">
        <v>312</v>
      </c>
      <c r="C29" s="2" t="s">
        <v>300</v>
      </c>
      <c r="D29" s="2" t="s">
        <v>313</v>
      </c>
      <c r="E29" s="2" t="s">
        <v>22</v>
      </c>
      <c r="F29" s="2" t="s">
        <v>39</v>
      </c>
      <c r="G29" s="2" t="s">
        <v>24</v>
      </c>
      <c r="H29" s="2" t="s">
        <v>302</v>
      </c>
      <c r="I29" s="2" t="s">
        <v>314</v>
      </c>
      <c r="J29" s="2" t="s">
        <v>304</v>
      </c>
      <c r="K29" s="2" t="s">
        <v>315</v>
      </c>
      <c r="L29" s="2" t="s">
        <v>29</v>
      </c>
      <c r="M29" s="2"/>
      <c r="N29" s="2"/>
      <c r="O29" s="2"/>
      <c r="P29" s="2"/>
      <c r="Q29" s="2"/>
      <c r="R29" s="2"/>
    </row>
    <row r="30" spans="1:18">
      <c r="A30" s="2" t="s">
        <v>320</v>
      </c>
      <c r="B30" s="2" t="s">
        <v>321</v>
      </c>
      <c r="C30" s="2" t="s">
        <v>90</v>
      </c>
      <c r="D30" s="2" t="s">
        <v>90</v>
      </c>
      <c r="E30" s="2" t="s">
        <v>22</v>
      </c>
      <c r="F30" s="2" t="s">
        <v>23</v>
      </c>
      <c r="G30" s="2" t="s">
        <v>24</v>
      </c>
      <c r="H30" s="2" t="s">
        <v>25</v>
      </c>
      <c r="I30" s="2" t="s">
        <v>322</v>
      </c>
      <c r="J30" s="2" t="s">
        <v>34</v>
      </c>
      <c r="K30" s="2" t="s">
        <v>323</v>
      </c>
      <c r="L30" s="2" t="s">
        <v>29</v>
      </c>
      <c r="M30" s="2"/>
      <c r="N30" s="2"/>
      <c r="O30" s="2"/>
      <c r="P30" s="2"/>
      <c r="Q30" s="2"/>
      <c r="R30" s="2"/>
    </row>
    <row r="31" spans="1:18">
      <c r="A31" s="2" t="s">
        <v>324</v>
      </c>
      <c r="B31" s="2" t="s">
        <v>325</v>
      </c>
      <c r="C31" s="2" t="s">
        <v>90</v>
      </c>
      <c r="D31" s="2" t="s">
        <v>90</v>
      </c>
      <c r="E31" s="2" t="s">
        <v>22</v>
      </c>
      <c r="F31" s="2" t="s">
        <v>23</v>
      </c>
      <c r="G31" s="2" t="s">
        <v>24</v>
      </c>
      <c r="H31" s="2" t="s">
        <v>25</v>
      </c>
      <c r="I31" s="2" t="s">
        <v>326</v>
      </c>
      <c r="J31" s="2" t="s">
        <v>34</v>
      </c>
      <c r="K31" s="2" t="s">
        <v>327</v>
      </c>
      <c r="L31" s="2" t="s">
        <v>29</v>
      </c>
      <c r="M31" s="2"/>
      <c r="N31" s="2"/>
      <c r="O31" s="2"/>
      <c r="P31" s="2"/>
      <c r="Q31" s="2"/>
      <c r="R31" s="2"/>
    </row>
    <row r="32" spans="1:18">
      <c r="A32" s="2" t="s">
        <v>328</v>
      </c>
      <c r="B32" s="2" t="s">
        <v>329</v>
      </c>
      <c r="C32" s="2" t="s">
        <v>90</v>
      </c>
      <c r="D32" s="2" t="s">
        <v>90</v>
      </c>
      <c r="E32" s="2" t="s">
        <v>22</v>
      </c>
      <c r="F32" s="2" t="s">
        <v>39</v>
      </c>
      <c r="G32" s="2" t="s">
        <v>24</v>
      </c>
      <c r="H32" s="2" t="s">
        <v>25</v>
      </c>
      <c r="I32" s="2" t="s">
        <v>330</v>
      </c>
      <c r="J32" s="2" t="s">
        <v>34</v>
      </c>
      <c r="K32" s="2" t="s">
        <v>331</v>
      </c>
      <c r="L32" s="2" t="s">
        <v>29</v>
      </c>
      <c r="M32" s="2"/>
      <c r="N32" s="2"/>
      <c r="O32" s="2"/>
      <c r="P32" s="2"/>
      <c r="Q32" s="2"/>
      <c r="R32" s="2"/>
    </row>
    <row r="33" spans="1:18">
      <c r="A33" s="2" t="s">
        <v>332</v>
      </c>
      <c r="B33" s="2" t="s">
        <v>333</v>
      </c>
      <c r="C33" s="2" t="s">
        <v>90</v>
      </c>
      <c r="D33" s="2" t="s">
        <v>90</v>
      </c>
      <c r="E33" s="2" t="s">
        <v>22</v>
      </c>
      <c r="F33" s="2" t="s">
        <v>39</v>
      </c>
      <c r="G33" s="2" t="s">
        <v>24</v>
      </c>
      <c r="H33" s="2" t="s">
        <v>25</v>
      </c>
      <c r="I33" s="2" t="s">
        <v>334</v>
      </c>
      <c r="J33" s="2" t="s">
        <v>34</v>
      </c>
      <c r="K33" s="2" t="s">
        <v>335</v>
      </c>
      <c r="L33" s="2" t="s">
        <v>29</v>
      </c>
      <c r="M33" s="2"/>
      <c r="N33" s="2"/>
      <c r="O33" s="2"/>
      <c r="P33" s="2"/>
      <c r="Q33" s="2"/>
      <c r="R33" s="2"/>
    </row>
    <row r="34" spans="1:18">
      <c r="A34" s="2" t="s">
        <v>360</v>
      </c>
      <c r="B34" s="2" t="s">
        <v>361</v>
      </c>
      <c r="C34" s="2" t="s">
        <v>54</v>
      </c>
      <c r="D34" s="2" t="s">
        <v>362</v>
      </c>
      <c r="E34" s="2" t="s">
        <v>22</v>
      </c>
      <c r="F34" s="2" t="s">
        <v>39</v>
      </c>
      <c r="G34" s="2" t="s">
        <v>24</v>
      </c>
      <c r="H34" s="2" t="s">
        <v>55</v>
      </c>
      <c r="I34" s="2" t="s">
        <v>363</v>
      </c>
      <c r="J34" s="2" t="s">
        <v>122</v>
      </c>
      <c r="K34" s="2" t="s">
        <v>364</v>
      </c>
      <c r="L34" s="2" t="s">
        <v>29</v>
      </c>
      <c r="M34" s="2"/>
      <c r="N34" s="2"/>
      <c r="O34" s="2"/>
      <c r="P34" s="2"/>
      <c r="Q34" s="2"/>
      <c r="R34" s="2"/>
    </row>
    <row r="35" spans="1:18">
      <c r="A35" s="2" t="s">
        <v>365</v>
      </c>
      <c r="B35" s="2" t="s">
        <v>366</v>
      </c>
      <c r="C35" s="2" t="s">
        <v>54</v>
      </c>
      <c r="D35" s="2" t="s">
        <v>367</v>
      </c>
      <c r="E35" s="2" t="s">
        <v>22</v>
      </c>
      <c r="F35" s="2" t="s">
        <v>39</v>
      </c>
      <c r="G35" s="2" t="s">
        <v>24</v>
      </c>
      <c r="H35" s="2" t="s">
        <v>55</v>
      </c>
      <c r="I35" s="2" t="s">
        <v>368</v>
      </c>
      <c r="J35" s="2" t="s">
        <v>42</v>
      </c>
      <c r="K35" s="2" t="s">
        <v>369</v>
      </c>
      <c r="L35" s="2" t="s">
        <v>29</v>
      </c>
      <c r="M35" s="2"/>
      <c r="N35" s="2"/>
      <c r="O35" s="2"/>
      <c r="P35" s="2"/>
      <c r="Q35" s="2"/>
      <c r="R35" s="2"/>
    </row>
    <row r="36" spans="1:18">
      <c r="A36" s="2" t="s">
        <v>370</v>
      </c>
      <c r="B36" s="2" t="s">
        <v>371</v>
      </c>
      <c r="C36" s="2" t="s">
        <v>119</v>
      </c>
      <c r="D36" s="2" t="s">
        <v>119</v>
      </c>
      <c r="E36" s="2" t="s">
        <v>22</v>
      </c>
      <c r="F36" s="2" t="s">
        <v>39</v>
      </c>
      <c r="G36" s="2" t="s">
        <v>24</v>
      </c>
      <c r="H36" s="2" t="s">
        <v>120</v>
      </c>
      <c r="I36" s="2" t="s">
        <v>372</v>
      </c>
      <c r="J36" s="2" t="s">
        <v>122</v>
      </c>
      <c r="K36" s="2" t="s">
        <v>373</v>
      </c>
      <c r="L36" s="2" t="s">
        <v>29</v>
      </c>
      <c r="M36" s="2"/>
      <c r="N36" s="2"/>
      <c r="O36" s="2"/>
      <c r="P36" s="2"/>
      <c r="Q36" s="2"/>
      <c r="R36" s="2"/>
    </row>
    <row r="37" spans="1:18">
      <c r="A37" s="2" t="s">
        <v>374</v>
      </c>
      <c r="B37" s="2" t="s">
        <v>375</v>
      </c>
      <c r="C37" s="2" t="s">
        <v>119</v>
      </c>
      <c r="D37" s="2" t="s">
        <v>119</v>
      </c>
      <c r="E37" s="2" t="s">
        <v>22</v>
      </c>
      <c r="F37" s="2" t="s">
        <v>39</v>
      </c>
      <c r="G37" s="2" t="s">
        <v>24</v>
      </c>
      <c r="H37" s="2" t="s">
        <v>120</v>
      </c>
      <c r="I37" s="2" t="s">
        <v>376</v>
      </c>
      <c r="J37" s="2" t="s">
        <v>122</v>
      </c>
      <c r="K37" s="2" t="s">
        <v>377</v>
      </c>
      <c r="L37" s="2" t="s">
        <v>29</v>
      </c>
      <c r="M37" s="2"/>
      <c r="N37" s="2"/>
      <c r="O37" s="2"/>
      <c r="P37" s="2"/>
      <c r="Q37" s="2"/>
      <c r="R37" s="2"/>
    </row>
    <row r="38" spans="1:18">
      <c r="A38" s="2" t="s">
        <v>378</v>
      </c>
      <c r="B38" s="2" t="s">
        <v>379</v>
      </c>
      <c r="C38" s="2" t="s">
        <v>119</v>
      </c>
      <c r="D38" s="2" t="s">
        <v>380</v>
      </c>
      <c r="E38" s="2" t="s">
        <v>22</v>
      </c>
      <c r="F38" s="2" t="s">
        <v>39</v>
      </c>
      <c r="G38" s="2" t="s">
        <v>24</v>
      </c>
      <c r="H38" s="2" t="s">
        <v>120</v>
      </c>
      <c r="I38" s="2" t="s">
        <v>381</v>
      </c>
      <c r="J38" s="2" t="s">
        <v>122</v>
      </c>
      <c r="K38" s="2" t="s">
        <v>382</v>
      </c>
      <c r="L38" s="2" t="s">
        <v>29</v>
      </c>
      <c r="M38" s="2"/>
      <c r="N38" s="2"/>
      <c r="O38" s="2"/>
      <c r="P38" s="2"/>
      <c r="Q38" s="2"/>
      <c r="R38" s="2"/>
    </row>
    <row r="39" spans="1:18">
      <c r="A39" s="2" t="s">
        <v>383</v>
      </c>
      <c r="B39" s="2" t="s">
        <v>384</v>
      </c>
      <c r="C39" s="2" t="s">
        <v>119</v>
      </c>
      <c r="D39" s="2" t="s">
        <v>119</v>
      </c>
      <c r="E39" s="2" t="s">
        <v>22</v>
      </c>
      <c r="F39" s="2" t="s">
        <v>39</v>
      </c>
      <c r="G39" s="2" t="s">
        <v>24</v>
      </c>
      <c r="H39" s="2" t="s">
        <v>120</v>
      </c>
      <c r="I39" s="2" t="s">
        <v>385</v>
      </c>
      <c r="J39" s="2" t="s">
        <v>122</v>
      </c>
      <c r="K39" s="2" t="s">
        <v>386</v>
      </c>
      <c r="L39" s="2" t="s">
        <v>29</v>
      </c>
      <c r="M39" s="2"/>
      <c r="N39" s="2"/>
      <c r="O39" s="2"/>
      <c r="P39" s="2"/>
      <c r="Q39" s="2"/>
      <c r="R39" s="2"/>
    </row>
    <row r="40" spans="1:18">
      <c r="A40" s="2" t="s">
        <v>387</v>
      </c>
      <c r="B40" s="2" t="s">
        <v>388</v>
      </c>
      <c r="C40" s="2" t="s">
        <v>119</v>
      </c>
      <c r="D40" s="2" t="s">
        <v>119</v>
      </c>
      <c r="E40" s="2" t="s">
        <v>22</v>
      </c>
      <c r="F40" s="2" t="s">
        <v>39</v>
      </c>
      <c r="G40" s="2" t="s">
        <v>24</v>
      </c>
      <c r="H40" s="2" t="s">
        <v>120</v>
      </c>
      <c r="I40" s="2" t="s">
        <v>389</v>
      </c>
      <c r="J40" s="2" t="s">
        <v>122</v>
      </c>
      <c r="K40" s="2" t="s">
        <v>390</v>
      </c>
      <c r="L40" s="2" t="s">
        <v>29</v>
      </c>
      <c r="M40" s="2"/>
      <c r="N40" s="2"/>
      <c r="O40" s="2"/>
      <c r="P40" s="2"/>
      <c r="Q40" s="2"/>
      <c r="R40" s="2"/>
    </row>
    <row r="41" spans="1:18">
      <c r="A41" s="2" t="s">
        <v>391</v>
      </c>
      <c r="B41" s="2" t="s">
        <v>392</v>
      </c>
      <c r="C41" s="2" t="s">
        <v>119</v>
      </c>
      <c r="D41" s="2" t="s">
        <v>393</v>
      </c>
      <c r="E41" s="2" t="s">
        <v>22</v>
      </c>
      <c r="F41" s="2" t="s">
        <v>39</v>
      </c>
      <c r="G41" s="2" t="s">
        <v>24</v>
      </c>
      <c r="H41" s="2" t="s">
        <v>120</v>
      </c>
      <c r="I41" s="2" t="s">
        <v>394</v>
      </c>
      <c r="J41" s="2" t="s">
        <v>122</v>
      </c>
      <c r="K41" s="2" t="s">
        <v>395</v>
      </c>
      <c r="L41" s="2" t="s">
        <v>29</v>
      </c>
      <c r="M41" s="2"/>
      <c r="N41" s="2"/>
      <c r="O41" s="2"/>
      <c r="P41" s="2"/>
      <c r="Q41" s="2"/>
      <c r="R41" s="2"/>
    </row>
    <row r="42" spans="1:18">
      <c r="A42" s="2" t="s">
        <v>400</v>
      </c>
      <c r="B42" s="2" t="s">
        <v>401</v>
      </c>
      <c r="C42" s="2" t="s">
        <v>46</v>
      </c>
      <c r="D42" s="2" t="s">
        <v>46</v>
      </c>
      <c r="E42" s="2" t="s">
        <v>22</v>
      </c>
      <c r="F42" s="2" t="s">
        <v>23</v>
      </c>
      <c r="G42" s="2" t="s">
        <v>24</v>
      </c>
      <c r="H42" s="2" t="s">
        <v>40</v>
      </c>
      <c r="I42" s="2" t="s">
        <v>402</v>
      </c>
      <c r="J42" s="2" t="s">
        <v>42</v>
      </c>
      <c r="K42" s="2" t="s">
        <v>403</v>
      </c>
      <c r="L42" s="2" t="s">
        <v>29</v>
      </c>
      <c r="M42" s="2"/>
      <c r="N42" s="2"/>
      <c r="O42" s="2"/>
      <c r="P42" s="2"/>
      <c r="Q42" s="2"/>
      <c r="R42" s="2"/>
    </row>
    <row r="43" spans="1:18">
      <c r="A43" s="2" t="s">
        <v>404</v>
      </c>
      <c r="B43" s="2" t="s">
        <v>405</v>
      </c>
      <c r="C43" s="2" t="s">
        <v>46</v>
      </c>
      <c r="D43" s="2" t="s">
        <v>46</v>
      </c>
      <c r="E43" s="2" t="s">
        <v>22</v>
      </c>
      <c r="F43" s="2" t="s">
        <v>23</v>
      </c>
      <c r="G43" s="2" t="s">
        <v>24</v>
      </c>
      <c r="H43" s="2" t="s">
        <v>40</v>
      </c>
      <c r="I43" s="2" t="s">
        <v>406</v>
      </c>
      <c r="J43" s="2" t="s">
        <v>42</v>
      </c>
      <c r="K43" s="2" t="s">
        <v>407</v>
      </c>
      <c r="L43" s="2" t="s">
        <v>29</v>
      </c>
      <c r="M43" s="2"/>
      <c r="N43" s="2"/>
      <c r="O43" s="2"/>
      <c r="P43" s="2"/>
      <c r="Q43" s="2"/>
      <c r="R43" s="2"/>
    </row>
    <row r="44" spans="1:18">
      <c r="A44" s="2" t="s">
        <v>408</v>
      </c>
      <c r="B44" s="2" t="s">
        <v>409</v>
      </c>
      <c r="C44" s="2" t="s">
        <v>46</v>
      </c>
      <c r="D44" s="2" t="s">
        <v>176</v>
      </c>
      <c r="E44" s="2" t="s">
        <v>22</v>
      </c>
      <c r="F44" s="2" t="s">
        <v>39</v>
      </c>
      <c r="G44" s="2" t="s">
        <v>24</v>
      </c>
      <c r="H44" s="2" t="s">
        <v>40</v>
      </c>
      <c r="I44" s="2" t="s">
        <v>410</v>
      </c>
      <c r="J44" s="2" t="s">
        <v>42</v>
      </c>
      <c r="K44" s="2" t="s">
        <v>411</v>
      </c>
      <c r="L44" s="2" t="s">
        <v>29</v>
      </c>
      <c r="M44" s="2"/>
      <c r="N44" s="2"/>
      <c r="O44" s="2"/>
      <c r="P44" s="2"/>
      <c r="Q44" s="2"/>
      <c r="R44" s="2"/>
    </row>
    <row r="45" spans="1:18">
      <c r="A45" s="2" t="s">
        <v>412</v>
      </c>
      <c r="B45" s="2" t="s">
        <v>413</v>
      </c>
      <c r="C45" s="2" t="s">
        <v>46</v>
      </c>
      <c r="D45" s="2" t="s">
        <v>176</v>
      </c>
      <c r="E45" s="2" t="s">
        <v>22</v>
      </c>
      <c r="F45" s="2" t="s">
        <v>39</v>
      </c>
      <c r="G45" s="2" t="s">
        <v>24</v>
      </c>
      <c r="H45" s="2" t="s">
        <v>40</v>
      </c>
      <c r="I45" s="2" t="s">
        <v>414</v>
      </c>
      <c r="J45" s="2" t="s">
        <v>42</v>
      </c>
      <c r="K45" s="2" t="s">
        <v>415</v>
      </c>
      <c r="L45" s="2" t="s">
        <v>29</v>
      </c>
      <c r="M45" s="2"/>
      <c r="N45" s="2"/>
      <c r="O45" s="2"/>
      <c r="P45" s="2"/>
      <c r="Q45" s="2"/>
      <c r="R45" s="2"/>
    </row>
    <row r="46" spans="1:18">
      <c r="A46" s="2" t="s">
        <v>416</v>
      </c>
      <c r="B46" s="2" t="s">
        <v>417</v>
      </c>
      <c r="C46" s="2" t="s">
        <v>64</v>
      </c>
      <c r="D46" s="2" t="s">
        <v>64</v>
      </c>
      <c r="E46" s="2" t="s">
        <v>22</v>
      </c>
      <c r="F46" s="2" t="s">
        <v>39</v>
      </c>
      <c r="G46" s="2" t="s">
        <v>24</v>
      </c>
      <c r="H46" s="2" t="s">
        <v>65</v>
      </c>
      <c r="I46" s="2" t="s">
        <v>418</v>
      </c>
      <c r="J46" s="2" t="s">
        <v>34</v>
      </c>
      <c r="K46" s="2" t="s">
        <v>419</v>
      </c>
      <c r="L46" s="2" t="s">
        <v>29</v>
      </c>
      <c r="M46" s="2"/>
      <c r="N46" s="2"/>
      <c r="O46" s="2"/>
      <c r="P46" s="2"/>
      <c r="Q46" s="2"/>
      <c r="R46" s="2"/>
    </row>
    <row r="47" spans="1:18">
      <c r="A47" s="2" t="s">
        <v>420</v>
      </c>
      <c r="B47" s="2" t="s">
        <v>421</v>
      </c>
      <c r="C47" s="2" t="s">
        <v>64</v>
      </c>
      <c r="D47" s="2" t="s">
        <v>64</v>
      </c>
      <c r="E47" s="2" t="s">
        <v>22</v>
      </c>
      <c r="F47" s="2" t="s">
        <v>39</v>
      </c>
      <c r="G47" s="2" t="s">
        <v>24</v>
      </c>
      <c r="H47" s="2" t="s">
        <v>65</v>
      </c>
      <c r="I47" s="2" t="s">
        <v>422</v>
      </c>
      <c r="J47" s="2" t="s">
        <v>34</v>
      </c>
      <c r="K47" s="2" t="s">
        <v>423</v>
      </c>
      <c r="L47" s="2" t="s">
        <v>29</v>
      </c>
      <c r="M47" s="2"/>
      <c r="N47" s="2"/>
      <c r="O47" s="2"/>
      <c r="P47" s="2"/>
      <c r="Q47" s="2"/>
      <c r="R47" s="2"/>
    </row>
    <row r="48" spans="1:18">
      <c r="A48" s="2" t="s">
        <v>436</v>
      </c>
      <c r="B48" s="2" t="s">
        <v>437</v>
      </c>
      <c r="C48" s="2" t="s">
        <v>64</v>
      </c>
      <c r="D48" s="2" t="s">
        <v>64</v>
      </c>
      <c r="E48" s="2" t="s">
        <v>22</v>
      </c>
      <c r="F48" s="2" t="s">
        <v>438</v>
      </c>
      <c r="G48" s="2" t="s">
        <v>24</v>
      </c>
      <c r="H48" s="2" t="s">
        <v>65</v>
      </c>
      <c r="I48" s="2" t="s">
        <v>439</v>
      </c>
      <c r="J48" s="2" t="s">
        <v>34</v>
      </c>
      <c r="K48" s="2" t="s">
        <v>440</v>
      </c>
      <c r="L48" s="2" t="s">
        <v>29</v>
      </c>
      <c r="M48" s="2"/>
      <c r="N48" s="2"/>
      <c r="O48" s="2"/>
      <c r="P48" s="2"/>
      <c r="Q48" s="2"/>
      <c r="R48" s="2"/>
    </row>
    <row r="49" spans="1:18">
      <c r="A49" s="2" t="s">
        <v>441</v>
      </c>
      <c r="B49" s="2" t="s">
        <v>442</v>
      </c>
      <c r="C49" s="2" t="s">
        <v>83</v>
      </c>
      <c r="D49" s="2" t="s">
        <v>83</v>
      </c>
      <c r="E49" s="2" t="s">
        <v>22</v>
      </c>
      <c r="F49" s="2" t="s">
        <v>39</v>
      </c>
      <c r="G49" s="2" t="s">
        <v>24</v>
      </c>
      <c r="H49" s="2" t="s">
        <v>84</v>
      </c>
      <c r="I49" s="2" t="s">
        <v>443</v>
      </c>
      <c r="J49" s="2" t="s">
        <v>34</v>
      </c>
      <c r="K49" s="2" t="s">
        <v>444</v>
      </c>
      <c r="L49" s="2" t="s">
        <v>29</v>
      </c>
      <c r="M49" s="2"/>
      <c r="N49" s="2"/>
      <c r="O49" s="2"/>
      <c r="P49" s="2"/>
      <c r="Q49" s="2"/>
      <c r="R49" s="2"/>
    </row>
    <row r="50" spans="1:18">
      <c r="A50" s="2" t="s">
        <v>457</v>
      </c>
      <c r="B50" s="2" t="s">
        <v>458</v>
      </c>
      <c r="C50" s="2" t="s">
        <v>83</v>
      </c>
      <c r="D50" s="2" t="s">
        <v>459</v>
      </c>
      <c r="E50" s="2" t="s">
        <v>22</v>
      </c>
      <c r="F50" s="2" t="s">
        <v>39</v>
      </c>
      <c r="G50" s="2" t="s">
        <v>24</v>
      </c>
      <c r="H50" s="2" t="s">
        <v>84</v>
      </c>
      <c r="I50" s="2" t="s">
        <v>460</v>
      </c>
      <c r="J50" s="2" t="s">
        <v>42</v>
      </c>
      <c r="K50" s="2" t="s">
        <v>461</v>
      </c>
      <c r="L50" s="2" t="s">
        <v>29</v>
      </c>
      <c r="M50" s="2"/>
      <c r="N50" s="2"/>
      <c r="O50" s="2"/>
      <c r="P50" s="2"/>
      <c r="Q50" s="2"/>
      <c r="R50" s="2"/>
    </row>
    <row r="51" spans="1:18">
      <c r="A51" s="2" t="s">
        <v>462</v>
      </c>
      <c r="B51" s="2" t="s">
        <v>463</v>
      </c>
      <c r="C51" s="2" t="s">
        <v>83</v>
      </c>
      <c r="D51" s="2" t="s">
        <v>95</v>
      </c>
      <c r="E51" s="2" t="s">
        <v>22</v>
      </c>
      <c r="F51" s="2" t="s">
        <v>23</v>
      </c>
      <c r="G51" s="2" t="s">
        <v>24</v>
      </c>
      <c r="H51" s="2" t="s">
        <v>84</v>
      </c>
      <c r="I51" s="2" t="s">
        <v>464</v>
      </c>
      <c r="J51" s="2" t="s">
        <v>34</v>
      </c>
      <c r="K51" s="2" t="s">
        <v>465</v>
      </c>
      <c r="L51" s="2" t="s">
        <v>29</v>
      </c>
      <c r="M51" s="2"/>
      <c r="N51" s="2"/>
      <c r="O51" s="2"/>
      <c r="P51" s="2"/>
      <c r="Q51" s="2"/>
      <c r="R51" s="2"/>
    </row>
    <row r="52" spans="1:18">
      <c r="A52" s="2" t="s">
        <v>478</v>
      </c>
      <c r="B52" s="2" t="s">
        <v>479</v>
      </c>
      <c r="C52" s="2" t="s">
        <v>258</v>
      </c>
      <c r="D52" s="2" t="s">
        <v>480</v>
      </c>
      <c r="E52" s="2" t="s">
        <v>22</v>
      </c>
      <c r="F52" s="2" t="s">
        <v>39</v>
      </c>
      <c r="G52" s="2" t="s">
        <v>24</v>
      </c>
      <c r="H52" s="2" t="s">
        <v>259</v>
      </c>
      <c r="I52" s="2" t="s">
        <v>481</v>
      </c>
      <c r="J52" s="2" t="s">
        <v>34</v>
      </c>
      <c r="K52" s="2" t="s">
        <v>482</v>
      </c>
      <c r="L52" s="2" t="s">
        <v>29</v>
      </c>
      <c r="M52" s="2"/>
      <c r="N52" s="2"/>
      <c r="O52" s="2"/>
      <c r="P52" s="2"/>
      <c r="Q52" s="2"/>
      <c r="R52" s="2"/>
    </row>
    <row r="53" spans="1:18">
      <c r="A53" s="2" t="s">
        <v>522</v>
      </c>
      <c r="B53" s="2" t="s">
        <v>523</v>
      </c>
      <c r="C53" s="2" t="s">
        <v>295</v>
      </c>
      <c r="D53" s="2" t="s">
        <v>295</v>
      </c>
      <c r="E53" s="2" t="s">
        <v>22</v>
      </c>
      <c r="F53" s="2" t="s">
        <v>39</v>
      </c>
      <c r="G53" s="2" t="s">
        <v>24</v>
      </c>
      <c r="H53" s="2" t="s">
        <v>135</v>
      </c>
      <c r="I53" s="2" t="s">
        <v>524</v>
      </c>
      <c r="J53" s="2" t="s">
        <v>34</v>
      </c>
      <c r="K53" s="2" t="s">
        <v>525</v>
      </c>
      <c r="L53" s="2" t="s">
        <v>29</v>
      </c>
      <c r="M53" s="2"/>
      <c r="N53" s="2"/>
      <c r="O53" s="2"/>
      <c r="P53" s="2"/>
      <c r="Q53" s="2"/>
      <c r="R53" s="2"/>
    </row>
    <row r="54" spans="1:18">
      <c r="A54" s="2" t="s">
        <v>526</v>
      </c>
      <c r="B54" s="2" t="s">
        <v>527</v>
      </c>
      <c r="C54" s="2" t="s">
        <v>295</v>
      </c>
      <c r="D54" s="2" t="s">
        <v>528</v>
      </c>
      <c r="E54" s="2" t="s">
        <v>22</v>
      </c>
      <c r="F54" s="2" t="s">
        <v>39</v>
      </c>
      <c r="G54" s="2" t="s">
        <v>24</v>
      </c>
      <c r="H54" s="2" t="s">
        <v>135</v>
      </c>
      <c r="I54" s="2" t="s">
        <v>529</v>
      </c>
      <c r="J54" s="2" t="s">
        <v>34</v>
      </c>
      <c r="K54" s="2" t="s">
        <v>530</v>
      </c>
      <c r="L54" s="2" t="s">
        <v>29</v>
      </c>
      <c r="M54" s="2"/>
      <c r="N54" s="2"/>
      <c r="O54" s="2"/>
      <c r="P54" s="2"/>
      <c r="Q54" s="2"/>
      <c r="R54" s="2"/>
    </row>
    <row r="55" spans="1:18">
      <c r="A55" s="2" t="s">
        <v>531</v>
      </c>
      <c r="B55" s="2" t="s">
        <v>532</v>
      </c>
      <c r="C55" s="2" t="s">
        <v>295</v>
      </c>
      <c r="D55" s="2" t="s">
        <v>533</v>
      </c>
      <c r="E55" s="2" t="s">
        <v>22</v>
      </c>
      <c r="F55" s="2" t="s">
        <v>39</v>
      </c>
      <c r="G55" s="2" t="s">
        <v>24</v>
      </c>
      <c r="H55" s="2" t="s">
        <v>65</v>
      </c>
      <c r="I55" s="2" t="s">
        <v>534</v>
      </c>
      <c r="J55" s="2" t="s">
        <v>34</v>
      </c>
      <c r="K55" s="2" t="s">
        <v>535</v>
      </c>
      <c r="L55" s="2" t="s">
        <v>29</v>
      </c>
      <c r="M55" s="2"/>
      <c r="N55" s="2"/>
      <c r="O55" s="2"/>
      <c r="P55" s="2"/>
      <c r="Q55" s="2"/>
      <c r="R55" s="2"/>
    </row>
    <row r="56" spans="1:18">
      <c r="A56" s="2" t="s">
        <v>583</v>
      </c>
      <c r="B56" s="2" t="s">
        <v>584</v>
      </c>
      <c r="C56" s="2" t="s">
        <v>301</v>
      </c>
      <c r="D56" s="2" t="s">
        <v>313</v>
      </c>
      <c r="E56" s="2" t="s">
        <v>22</v>
      </c>
      <c r="F56" s="2" t="s">
        <v>39</v>
      </c>
      <c r="G56" s="2" t="s">
        <v>24</v>
      </c>
      <c r="H56" s="2" t="s">
        <v>302</v>
      </c>
      <c r="I56" s="2" t="s">
        <v>585</v>
      </c>
      <c r="J56" s="2" t="s">
        <v>304</v>
      </c>
      <c r="K56" s="2" t="s">
        <v>586</v>
      </c>
      <c r="L56" s="2" t="s">
        <v>29</v>
      </c>
      <c r="M56" s="2"/>
      <c r="N56" s="2"/>
      <c r="O56" s="2"/>
      <c r="P56" s="2"/>
      <c r="Q56" s="2"/>
      <c r="R56" s="2"/>
    </row>
    <row r="57" spans="1:18">
      <c r="A57" s="2" t="s">
        <v>587</v>
      </c>
      <c r="B57" s="2" t="s">
        <v>588</v>
      </c>
      <c r="C57" s="2" t="s">
        <v>301</v>
      </c>
      <c r="D57" s="2" t="s">
        <v>308</v>
      </c>
      <c r="E57" s="2" t="s">
        <v>22</v>
      </c>
      <c r="F57" s="2" t="s">
        <v>39</v>
      </c>
      <c r="G57" s="2" t="s">
        <v>24</v>
      </c>
      <c r="H57" s="2" t="s">
        <v>302</v>
      </c>
      <c r="I57" s="2" t="s">
        <v>589</v>
      </c>
      <c r="J57" s="2" t="s">
        <v>304</v>
      </c>
      <c r="K57" s="2" t="s">
        <v>590</v>
      </c>
      <c r="L57" s="2" t="s">
        <v>29</v>
      </c>
      <c r="M57" s="2"/>
      <c r="N57" s="2"/>
      <c r="O57" s="2"/>
      <c r="P57" s="2"/>
      <c r="Q57" s="2"/>
      <c r="R57" s="2"/>
    </row>
  </sheetData>
  <conditionalFormatting sqref="L2:L500">
    <cfRule type="expression" dxfId="5" priority="1">
      <formula>L2="Verified"</formula>
    </cfRule>
    <cfRule type="expression" dxfId="4" priority="2">
      <formula>L2="Failed"</formula>
    </cfRule>
    <cfRule type="expression" dxfId="3" priority="3">
      <formula>L2="In Progress"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300-000000000000}">
          <x14:formula1>
            <xm:f>Lists!$A$2:$A$5</xm:f>
          </x14:formula1>
          <xm:sqref>L2:L500</xm:sqref>
        </x14:dataValidation>
        <x14:dataValidation type="list" xr:uid="{00000000-0002-0000-0300-000001000000}">
          <x14:formula1>
            <xm:f>Lists!$B$2:$B$5</xm:f>
          </x14:formula1>
          <xm:sqref>F2:F500</xm:sqref>
        </x14:dataValidation>
        <x14:dataValidation type="list" xr:uid="{00000000-0002-0000-0300-000002000000}">
          <x14:formula1>
            <xm:f>Lists!$C$2:$C$6</xm:f>
          </x14:formula1>
          <xm:sqref>G2:G500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24"/>
  <sheetViews>
    <sheetView topLeftCell="H1" zoomScaleNormal="100" zoomScaleSheetLayoutView="100" workbookViewId="0"/>
  </sheetViews>
  <sheetFormatPr defaultRowHeight="15"/>
  <cols>
    <col min="1" max="1" width="15" bestFit="1" customWidth="1"/>
    <col min="2" max="2" width="55.375" customWidth="1"/>
    <col min="3" max="3" width="19.125" bestFit="1" customWidth="1"/>
    <col min="4" max="4" width="25" bestFit="1" customWidth="1"/>
    <col min="5" max="5" width="15.5" bestFit="1" customWidth="1"/>
    <col min="6" max="6" width="19" bestFit="1" customWidth="1"/>
    <col min="7" max="7" width="16.375" bestFit="1" customWidth="1"/>
    <col min="8" max="8" width="12.5" bestFit="1" customWidth="1"/>
    <col min="9" max="9" width="11.75" bestFit="1" customWidth="1"/>
    <col min="10" max="10" width="16.75" bestFit="1" customWidth="1"/>
    <col min="11" max="11" width="91.25" customWidth="1"/>
    <col min="12" max="12" width="7.625" bestFit="1" customWidth="1"/>
    <col min="13" max="18" width="16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 t="s">
        <v>44</v>
      </c>
      <c r="B2" s="2" t="s">
        <v>45</v>
      </c>
      <c r="C2" s="2" t="s">
        <v>20</v>
      </c>
      <c r="D2" s="2" t="s">
        <v>46</v>
      </c>
      <c r="E2" s="2" t="s">
        <v>47</v>
      </c>
      <c r="F2" s="2" t="s">
        <v>23</v>
      </c>
      <c r="G2" s="2" t="s">
        <v>48</v>
      </c>
      <c r="H2" s="2" t="s">
        <v>49</v>
      </c>
      <c r="I2" s="2" t="s">
        <v>50</v>
      </c>
      <c r="J2" s="2" t="s">
        <v>27</v>
      </c>
      <c r="K2" s="2" t="s">
        <v>51</v>
      </c>
      <c r="L2" s="2" t="s">
        <v>29</v>
      </c>
      <c r="M2" s="2"/>
      <c r="N2" s="2"/>
      <c r="O2" s="2"/>
      <c r="P2" s="2"/>
      <c r="Q2" s="2"/>
      <c r="R2" s="2"/>
    </row>
    <row r="3" spans="1:18">
      <c r="A3" s="2" t="s">
        <v>52</v>
      </c>
      <c r="B3" s="2" t="s">
        <v>53</v>
      </c>
      <c r="C3" s="2" t="s">
        <v>20</v>
      </c>
      <c r="D3" s="2" t="s">
        <v>54</v>
      </c>
      <c r="E3" s="2" t="s">
        <v>47</v>
      </c>
      <c r="F3" s="2" t="s">
        <v>39</v>
      </c>
      <c r="G3" s="2" t="s">
        <v>48</v>
      </c>
      <c r="H3" s="2" t="s">
        <v>55</v>
      </c>
      <c r="I3" s="2" t="s">
        <v>56</v>
      </c>
      <c r="J3" s="2" t="s">
        <v>27</v>
      </c>
      <c r="K3" s="2" t="s">
        <v>57</v>
      </c>
      <c r="L3" s="2" t="s">
        <v>29</v>
      </c>
      <c r="M3" s="2"/>
      <c r="N3" s="2"/>
      <c r="O3" s="2"/>
      <c r="P3" s="2"/>
      <c r="Q3" s="2"/>
      <c r="R3" s="2"/>
    </row>
    <row r="4" spans="1:18">
      <c r="A4" s="2" t="s">
        <v>58</v>
      </c>
      <c r="B4" s="2" t="s">
        <v>59</v>
      </c>
      <c r="C4" s="2" t="s">
        <v>20</v>
      </c>
      <c r="D4" s="2" t="s">
        <v>54</v>
      </c>
      <c r="E4" s="2" t="s">
        <v>47</v>
      </c>
      <c r="F4" s="2" t="s">
        <v>23</v>
      </c>
      <c r="G4" s="2" t="s">
        <v>48</v>
      </c>
      <c r="H4" s="2" t="s">
        <v>55</v>
      </c>
      <c r="I4" s="2" t="s">
        <v>60</v>
      </c>
      <c r="J4" s="2" t="s">
        <v>27</v>
      </c>
      <c r="K4" s="2" t="s">
        <v>61</v>
      </c>
      <c r="L4" s="2" t="s">
        <v>29</v>
      </c>
      <c r="M4" s="2"/>
      <c r="N4" s="2"/>
      <c r="O4" s="2"/>
      <c r="P4" s="2"/>
      <c r="Q4" s="2"/>
      <c r="R4" s="2"/>
    </row>
    <row r="5" spans="1:18">
      <c r="A5" s="2" t="s">
        <v>98</v>
      </c>
      <c r="B5" s="2" t="s">
        <v>99</v>
      </c>
      <c r="C5" s="2" t="s">
        <v>89</v>
      </c>
      <c r="D5" s="2" t="s">
        <v>54</v>
      </c>
      <c r="E5" s="2" t="s">
        <v>47</v>
      </c>
      <c r="F5" s="2" t="s">
        <v>39</v>
      </c>
      <c r="G5" s="2" t="s">
        <v>48</v>
      </c>
      <c r="H5" s="2" t="s">
        <v>55</v>
      </c>
      <c r="I5" s="2" t="s">
        <v>100</v>
      </c>
      <c r="J5" s="2" t="s">
        <v>27</v>
      </c>
      <c r="K5" s="2" t="s">
        <v>101</v>
      </c>
      <c r="L5" s="2" t="s">
        <v>29</v>
      </c>
      <c r="M5" s="2"/>
      <c r="N5" s="2"/>
      <c r="O5" s="2"/>
      <c r="P5" s="2"/>
      <c r="Q5" s="2"/>
      <c r="R5" s="2"/>
    </row>
    <row r="6" spans="1:18">
      <c r="A6" s="2" t="s">
        <v>102</v>
      </c>
      <c r="B6" s="2" t="s">
        <v>103</v>
      </c>
      <c r="C6" s="2" t="s">
        <v>89</v>
      </c>
      <c r="D6" s="2" t="s">
        <v>104</v>
      </c>
      <c r="E6" s="2" t="s">
        <v>47</v>
      </c>
      <c r="F6" s="2" t="s">
        <v>39</v>
      </c>
      <c r="G6" s="2" t="s">
        <v>48</v>
      </c>
      <c r="H6" s="2" t="s">
        <v>49</v>
      </c>
      <c r="I6" s="2" t="s">
        <v>105</v>
      </c>
      <c r="J6" s="2" t="s">
        <v>27</v>
      </c>
      <c r="K6" s="2" t="s">
        <v>106</v>
      </c>
      <c r="L6" s="2" t="s">
        <v>29</v>
      </c>
      <c r="M6" s="2"/>
      <c r="N6" s="2"/>
      <c r="O6" s="2"/>
      <c r="P6" s="2"/>
      <c r="Q6" s="2"/>
      <c r="R6" s="2"/>
    </row>
    <row r="7" spans="1:18">
      <c r="A7" s="2" t="s">
        <v>112</v>
      </c>
      <c r="B7" s="2" t="s">
        <v>113</v>
      </c>
      <c r="C7" s="2" t="s">
        <v>89</v>
      </c>
      <c r="D7" s="2" t="s">
        <v>114</v>
      </c>
      <c r="E7" s="2" t="s">
        <v>47</v>
      </c>
      <c r="F7" s="2" t="s">
        <v>23</v>
      </c>
      <c r="G7" s="2" t="s">
        <v>48</v>
      </c>
      <c r="H7" s="2" t="s">
        <v>49</v>
      </c>
      <c r="I7" s="2" t="s">
        <v>115</v>
      </c>
      <c r="J7" s="2" t="s">
        <v>27</v>
      </c>
      <c r="K7" s="2" t="s">
        <v>116</v>
      </c>
      <c r="L7" s="2" t="s">
        <v>29</v>
      </c>
      <c r="M7" s="2"/>
      <c r="N7" s="2"/>
      <c r="O7" s="2"/>
      <c r="P7" s="2"/>
      <c r="Q7" s="2"/>
      <c r="R7" s="2"/>
    </row>
    <row r="8" spans="1:18">
      <c r="A8" s="2" t="s">
        <v>132</v>
      </c>
      <c r="B8" s="2" t="s">
        <v>133</v>
      </c>
      <c r="C8" s="2" t="s">
        <v>89</v>
      </c>
      <c r="D8" s="2" t="s">
        <v>134</v>
      </c>
      <c r="E8" s="2" t="s">
        <v>47</v>
      </c>
      <c r="F8" s="2" t="s">
        <v>23</v>
      </c>
      <c r="G8" s="2" t="s">
        <v>48</v>
      </c>
      <c r="H8" s="2" t="s">
        <v>135</v>
      </c>
      <c r="I8" s="2" t="s">
        <v>136</v>
      </c>
      <c r="J8" s="2" t="s">
        <v>27</v>
      </c>
      <c r="K8" s="2" t="s">
        <v>137</v>
      </c>
      <c r="L8" s="2" t="s">
        <v>29</v>
      </c>
      <c r="M8" s="2"/>
      <c r="N8" s="2"/>
      <c r="O8" s="2"/>
      <c r="P8" s="2"/>
      <c r="Q8" s="2"/>
      <c r="R8" s="2"/>
    </row>
    <row r="9" spans="1:18">
      <c r="A9" s="2" t="s">
        <v>145</v>
      </c>
      <c r="B9" s="2" t="s">
        <v>146</v>
      </c>
      <c r="C9" s="2" t="s">
        <v>140</v>
      </c>
      <c r="D9" s="2" t="s">
        <v>54</v>
      </c>
      <c r="E9" s="2" t="s">
        <v>47</v>
      </c>
      <c r="F9" s="2" t="s">
        <v>39</v>
      </c>
      <c r="G9" s="2" t="s">
        <v>48</v>
      </c>
      <c r="H9" s="2" t="s">
        <v>55</v>
      </c>
      <c r="I9" s="2" t="s">
        <v>147</v>
      </c>
      <c r="J9" s="2" t="s">
        <v>27</v>
      </c>
      <c r="K9" s="2" t="s">
        <v>148</v>
      </c>
      <c r="L9" s="2" t="s">
        <v>29</v>
      </c>
      <c r="M9" s="2"/>
      <c r="N9" s="2"/>
      <c r="O9" s="2"/>
      <c r="P9" s="2"/>
      <c r="Q9" s="2"/>
      <c r="R9" s="2"/>
    </row>
    <row r="10" spans="1:18">
      <c r="A10" s="2" t="s">
        <v>149</v>
      </c>
      <c r="B10" s="2" t="s">
        <v>150</v>
      </c>
      <c r="C10" s="2" t="s">
        <v>140</v>
      </c>
      <c r="D10" s="2" t="s">
        <v>104</v>
      </c>
      <c r="E10" s="2" t="s">
        <v>47</v>
      </c>
      <c r="F10" s="2" t="s">
        <v>39</v>
      </c>
      <c r="G10" s="2" t="s">
        <v>48</v>
      </c>
      <c r="H10" s="2" t="s">
        <v>49</v>
      </c>
      <c r="I10" s="2" t="s">
        <v>151</v>
      </c>
      <c r="J10" s="2" t="s">
        <v>27</v>
      </c>
      <c r="K10" s="2" t="s">
        <v>152</v>
      </c>
      <c r="L10" s="2" t="s">
        <v>29</v>
      </c>
      <c r="M10" s="2"/>
      <c r="N10" s="2"/>
      <c r="O10" s="2"/>
      <c r="P10" s="2"/>
      <c r="Q10" s="2"/>
      <c r="R10" s="2"/>
    </row>
    <row r="11" spans="1:18">
      <c r="A11" s="2" t="s">
        <v>153</v>
      </c>
      <c r="B11" s="2" t="s">
        <v>154</v>
      </c>
      <c r="C11" s="2" t="s">
        <v>140</v>
      </c>
      <c r="D11" s="2" t="s">
        <v>104</v>
      </c>
      <c r="E11" s="2" t="s">
        <v>47</v>
      </c>
      <c r="F11" s="2" t="s">
        <v>39</v>
      </c>
      <c r="G11" s="2" t="s">
        <v>48</v>
      </c>
      <c r="H11" s="2" t="s">
        <v>49</v>
      </c>
      <c r="I11" s="2" t="s">
        <v>155</v>
      </c>
      <c r="J11" s="2" t="s">
        <v>27</v>
      </c>
      <c r="K11" s="2" t="s">
        <v>156</v>
      </c>
      <c r="L11" s="2" t="s">
        <v>29</v>
      </c>
      <c r="M11" s="2"/>
      <c r="N11" s="2"/>
      <c r="O11" s="2"/>
      <c r="P11" s="2"/>
      <c r="Q11" s="2"/>
      <c r="R11" s="2"/>
    </row>
    <row r="12" spans="1:18">
      <c r="A12" s="2" t="s">
        <v>183</v>
      </c>
      <c r="B12" s="2" t="s">
        <v>184</v>
      </c>
      <c r="C12" s="2" t="s">
        <v>185</v>
      </c>
      <c r="D12" s="2" t="s">
        <v>186</v>
      </c>
      <c r="E12" s="2" t="s">
        <v>47</v>
      </c>
      <c r="F12" s="2" t="s">
        <v>39</v>
      </c>
      <c r="G12" s="2" t="s">
        <v>48</v>
      </c>
      <c r="H12" s="2" t="s">
        <v>49</v>
      </c>
      <c r="I12" s="2" t="s">
        <v>187</v>
      </c>
      <c r="J12" s="2" t="s">
        <v>27</v>
      </c>
      <c r="K12" s="2" t="s">
        <v>188</v>
      </c>
      <c r="L12" s="2" t="s">
        <v>29</v>
      </c>
      <c r="M12" s="2"/>
      <c r="N12" s="2"/>
      <c r="O12" s="2"/>
      <c r="P12" s="2"/>
      <c r="Q12" s="2"/>
      <c r="R12" s="2"/>
    </row>
    <row r="13" spans="1:18">
      <c r="A13" s="2" t="s">
        <v>197</v>
      </c>
      <c r="B13" s="2" t="s">
        <v>198</v>
      </c>
      <c r="C13" s="2" t="s">
        <v>185</v>
      </c>
      <c r="D13" s="2" t="s">
        <v>119</v>
      </c>
      <c r="E13" s="2" t="s">
        <v>47</v>
      </c>
      <c r="F13" s="2" t="s">
        <v>39</v>
      </c>
      <c r="G13" s="2" t="s">
        <v>48</v>
      </c>
      <c r="H13" s="2" t="s">
        <v>120</v>
      </c>
      <c r="I13" s="2" t="s">
        <v>199</v>
      </c>
      <c r="J13" s="2" t="s">
        <v>27</v>
      </c>
      <c r="K13" s="2" t="s">
        <v>200</v>
      </c>
      <c r="L13" s="2" t="s">
        <v>29</v>
      </c>
      <c r="M13" s="2"/>
      <c r="N13" s="2"/>
      <c r="O13" s="2"/>
      <c r="P13" s="2"/>
      <c r="Q13" s="2"/>
      <c r="R13" s="2"/>
    </row>
    <row r="14" spans="1:18">
      <c r="A14" s="2" t="s">
        <v>230</v>
      </c>
      <c r="B14" s="2" t="s">
        <v>231</v>
      </c>
      <c r="C14" s="2" t="s">
        <v>232</v>
      </c>
      <c r="D14" s="2" t="s">
        <v>233</v>
      </c>
      <c r="E14" s="2" t="s">
        <v>47</v>
      </c>
      <c r="F14" s="2" t="s">
        <v>23</v>
      </c>
      <c r="G14" s="2" t="s">
        <v>48</v>
      </c>
      <c r="H14" s="2" t="s">
        <v>234</v>
      </c>
      <c r="I14" s="2" t="s">
        <v>235</v>
      </c>
      <c r="J14" s="2" t="s">
        <v>236</v>
      </c>
      <c r="K14" s="2" t="s">
        <v>237</v>
      </c>
      <c r="L14" s="2" t="s">
        <v>29</v>
      </c>
      <c r="M14" s="2"/>
      <c r="N14" s="2"/>
      <c r="O14" s="2"/>
      <c r="P14" s="2"/>
      <c r="Q14" s="2"/>
      <c r="R14" s="2"/>
    </row>
    <row r="15" spans="1:18">
      <c r="A15" s="2" t="s">
        <v>267</v>
      </c>
      <c r="B15" s="2" t="s">
        <v>268</v>
      </c>
      <c r="C15" s="2" t="s">
        <v>257</v>
      </c>
      <c r="D15" s="2" t="s">
        <v>264</v>
      </c>
      <c r="E15" s="2" t="s">
        <v>47</v>
      </c>
      <c r="F15" s="2" t="s">
        <v>39</v>
      </c>
      <c r="G15" s="2" t="s">
        <v>48</v>
      </c>
      <c r="H15" s="2" t="s">
        <v>135</v>
      </c>
      <c r="I15" s="2" t="s">
        <v>269</v>
      </c>
      <c r="J15" s="2" t="s">
        <v>27</v>
      </c>
      <c r="K15" s="2" t="s">
        <v>270</v>
      </c>
      <c r="L15" s="2" t="s">
        <v>29</v>
      </c>
      <c r="M15" s="2"/>
      <c r="N15" s="2"/>
      <c r="O15" s="2"/>
      <c r="P15" s="2"/>
      <c r="Q15" s="2"/>
      <c r="R15" s="2"/>
    </row>
    <row r="16" spans="1:18">
      <c r="A16" s="2" t="s">
        <v>276</v>
      </c>
      <c r="B16" s="2" t="s">
        <v>277</v>
      </c>
      <c r="C16" s="2" t="s">
        <v>257</v>
      </c>
      <c r="D16" s="2" t="s">
        <v>264</v>
      </c>
      <c r="E16" s="2" t="s">
        <v>47</v>
      </c>
      <c r="F16" s="2" t="s">
        <v>39</v>
      </c>
      <c r="G16" s="2" t="s">
        <v>48</v>
      </c>
      <c r="H16" s="2" t="s">
        <v>135</v>
      </c>
      <c r="I16" s="2" t="s">
        <v>278</v>
      </c>
      <c r="J16" s="2" t="s">
        <v>27</v>
      </c>
      <c r="K16" s="2" t="s">
        <v>279</v>
      </c>
      <c r="L16" s="2" t="s">
        <v>29</v>
      </c>
      <c r="M16" s="2"/>
      <c r="N16" s="2"/>
      <c r="O16" s="2"/>
      <c r="P16" s="2"/>
      <c r="Q16" s="2"/>
      <c r="R16" s="2"/>
    </row>
    <row r="17" spans="1:18">
      <c r="A17" s="2" t="s">
        <v>340</v>
      </c>
      <c r="B17" s="2" t="s">
        <v>341</v>
      </c>
      <c r="C17" s="2" t="s">
        <v>90</v>
      </c>
      <c r="D17" s="2" t="s">
        <v>90</v>
      </c>
      <c r="E17" s="2" t="s">
        <v>47</v>
      </c>
      <c r="F17" s="2" t="s">
        <v>39</v>
      </c>
      <c r="G17" s="2" t="s">
        <v>48</v>
      </c>
      <c r="H17" s="2" t="s">
        <v>49</v>
      </c>
      <c r="I17" s="2" t="s">
        <v>342</v>
      </c>
      <c r="J17" s="2" t="s">
        <v>27</v>
      </c>
      <c r="K17" s="2" t="s">
        <v>343</v>
      </c>
      <c r="L17" s="2" t="s">
        <v>29</v>
      </c>
      <c r="M17" s="2"/>
      <c r="N17" s="2"/>
      <c r="O17" s="2"/>
      <c r="P17" s="2"/>
      <c r="Q17" s="2"/>
      <c r="R17" s="2"/>
    </row>
    <row r="18" spans="1:18">
      <c r="A18" s="2" t="s">
        <v>344</v>
      </c>
      <c r="B18" s="2" t="s">
        <v>345</v>
      </c>
      <c r="C18" s="2" t="s">
        <v>54</v>
      </c>
      <c r="D18" s="2" t="s">
        <v>54</v>
      </c>
      <c r="E18" s="2" t="s">
        <v>47</v>
      </c>
      <c r="F18" s="2" t="s">
        <v>39</v>
      </c>
      <c r="G18" s="2" t="s">
        <v>48</v>
      </c>
      <c r="H18" s="2" t="s">
        <v>55</v>
      </c>
      <c r="I18" s="2" t="s">
        <v>346</v>
      </c>
      <c r="J18" s="2" t="s">
        <v>27</v>
      </c>
      <c r="K18" s="2" t="s">
        <v>347</v>
      </c>
      <c r="L18" s="2" t="s">
        <v>29</v>
      </c>
      <c r="M18" s="2"/>
      <c r="N18" s="2"/>
      <c r="O18" s="2"/>
      <c r="P18" s="2"/>
      <c r="Q18" s="2"/>
      <c r="R18" s="2"/>
    </row>
    <row r="19" spans="1:18">
      <c r="A19" s="2" t="s">
        <v>348</v>
      </c>
      <c r="B19" s="2" t="s">
        <v>349</v>
      </c>
      <c r="C19" s="2" t="s">
        <v>54</v>
      </c>
      <c r="D19" s="2" t="s">
        <v>54</v>
      </c>
      <c r="E19" s="2" t="s">
        <v>47</v>
      </c>
      <c r="F19" s="2" t="s">
        <v>39</v>
      </c>
      <c r="G19" s="2" t="s">
        <v>48</v>
      </c>
      <c r="H19" s="2" t="s">
        <v>55</v>
      </c>
      <c r="I19" s="2" t="s">
        <v>350</v>
      </c>
      <c r="J19" s="2" t="s">
        <v>27</v>
      </c>
      <c r="K19" s="2" t="s">
        <v>351</v>
      </c>
      <c r="L19" s="2" t="s">
        <v>29</v>
      </c>
      <c r="M19" s="2"/>
      <c r="N19" s="2"/>
      <c r="O19" s="2"/>
      <c r="P19" s="2"/>
      <c r="Q19" s="2"/>
      <c r="R19" s="2"/>
    </row>
    <row r="20" spans="1:18">
      <c r="A20" s="2" t="s">
        <v>352</v>
      </c>
      <c r="B20" s="2" t="s">
        <v>353</v>
      </c>
      <c r="C20" s="2" t="s">
        <v>54</v>
      </c>
      <c r="D20" s="2" t="s">
        <v>54</v>
      </c>
      <c r="E20" s="2" t="s">
        <v>47</v>
      </c>
      <c r="F20" s="2" t="s">
        <v>39</v>
      </c>
      <c r="G20" s="2" t="s">
        <v>48</v>
      </c>
      <c r="H20" s="2" t="s">
        <v>55</v>
      </c>
      <c r="I20" s="2" t="s">
        <v>354</v>
      </c>
      <c r="J20" s="2" t="s">
        <v>27</v>
      </c>
      <c r="K20" s="2" t="s">
        <v>355</v>
      </c>
      <c r="L20" s="2" t="s">
        <v>29</v>
      </c>
      <c r="M20" s="2"/>
      <c r="N20" s="2"/>
      <c r="O20" s="2"/>
      <c r="P20" s="2"/>
      <c r="Q20" s="2"/>
      <c r="R20" s="2"/>
    </row>
    <row r="21" spans="1:18">
      <c r="A21" s="2" t="s">
        <v>356</v>
      </c>
      <c r="B21" s="2" t="s">
        <v>357</v>
      </c>
      <c r="C21" s="2" t="s">
        <v>54</v>
      </c>
      <c r="D21" s="2" t="s">
        <v>54</v>
      </c>
      <c r="E21" s="2" t="s">
        <v>47</v>
      </c>
      <c r="F21" s="2" t="s">
        <v>39</v>
      </c>
      <c r="G21" s="2" t="s">
        <v>48</v>
      </c>
      <c r="H21" s="2" t="s">
        <v>55</v>
      </c>
      <c r="I21" s="2" t="s">
        <v>358</v>
      </c>
      <c r="J21" s="2" t="s">
        <v>27</v>
      </c>
      <c r="K21" s="2" t="s">
        <v>359</v>
      </c>
      <c r="L21" s="2" t="s">
        <v>29</v>
      </c>
      <c r="M21" s="2"/>
      <c r="N21" s="2"/>
      <c r="O21" s="2"/>
      <c r="P21" s="2"/>
      <c r="Q21" s="2"/>
      <c r="R21" s="2"/>
    </row>
    <row r="22" spans="1:18">
      <c r="A22" s="2" t="s">
        <v>483</v>
      </c>
      <c r="B22" s="2" t="s">
        <v>484</v>
      </c>
      <c r="C22" s="2" t="s">
        <v>258</v>
      </c>
      <c r="D22" s="2" t="s">
        <v>485</v>
      </c>
      <c r="E22" s="2" t="s">
        <v>47</v>
      </c>
      <c r="F22" s="2" t="s">
        <v>39</v>
      </c>
      <c r="G22" s="2" t="s">
        <v>48</v>
      </c>
      <c r="H22" s="2" t="s">
        <v>259</v>
      </c>
      <c r="I22" s="2" t="s">
        <v>486</v>
      </c>
      <c r="J22" s="2" t="s">
        <v>27</v>
      </c>
      <c r="K22" s="2" t="s">
        <v>487</v>
      </c>
      <c r="L22" s="2" t="s">
        <v>29</v>
      </c>
      <c r="M22" s="2"/>
      <c r="N22" s="2"/>
      <c r="O22" s="2"/>
      <c r="P22" s="2"/>
      <c r="Q22" s="2"/>
      <c r="R22" s="2"/>
    </row>
    <row r="23" spans="1:18">
      <c r="A23" s="2" t="s">
        <v>536</v>
      </c>
      <c r="B23" s="2" t="s">
        <v>537</v>
      </c>
      <c r="C23" s="2" t="s">
        <v>295</v>
      </c>
      <c r="D23" s="2" t="s">
        <v>538</v>
      </c>
      <c r="E23" s="2" t="s">
        <v>47</v>
      </c>
      <c r="F23" s="2" t="s">
        <v>39</v>
      </c>
      <c r="G23" s="2" t="s">
        <v>48</v>
      </c>
      <c r="H23" s="2" t="s">
        <v>135</v>
      </c>
      <c r="I23" s="2" t="s">
        <v>539</v>
      </c>
      <c r="J23" s="2" t="s">
        <v>27</v>
      </c>
      <c r="K23" s="2" t="s">
        <v>540</v>
      </c>
      <c r="L23" s="2" t="s">
        <v>29</v>
      </c>
      <c r="M23" s="2"/>
      <c r="N23" s="2"/>
      <c r="O23" s="2"/>
      <c r="P23" s="2"/>
      <c r="Q23" s="2"/>
      <c r="R23" s="2"/>
    </row>
    <row r="24" spans="1:18">
      <c r="A24" s="2" t="s">
        <v>541</v>
      </c>
      <c r="B24" s="2" t="s">
        <v>542</v>
      </c>
      <c r="C24" s="2" t="s">
        <v>295</v>
      </c>
      <c r="D24" s="2" t="s">
        <v>295</v>
      </c>
      <c r="E24" s="2" t="s">
        <v>47</v>
      </c>
      <c r="F24" s="2" t="s">
        <v>39</v>
      </c>
      <c r="G24" s="2" t="s">
        <v>48</v>
      </c>
      <c r="H24" s="2" t="s">
        <v>135</v>
      </c>
      <c r="I24" s="2" t="s">
        <v>543</v>
      </c>
      <c r="J24" s="2" t="s">
        <v>27</v>
      </c>
      <c r="K24" s="2" t="s">
        <v>544</v>
      </c>
      <c r="L24" s="2" t="s">
        <v>29</v>
      </c>
      <c r="M24" s="2"/>
      <c r="N24" s="2"/>
      <c r="O24" s="2"/>
      <c r="P24" s="2"/>
      <c r="Q24" s="2"/>
      <c r="R24" s="2"/>
    </row>
  </sheetData>
  <conditionalFormatting sqref="L2:L500">
    <cfRule type="expression" dxfId="2" priority="1">
      <formula>L2="Verified"</formula>
    </cfRule>
    <cfRule type="expression" dxfId="1" priority="2">
      <formula>L2="Failed"</formula>
    </cfRule>
    <cfRule type="expression" dxfId="0" priority="3">
      <formula>L2="In Progress"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400-000000000000}">
          <x14:formula1>
            <xm:f>Lists!$A$2:$A$5</xm:f>
          </x14:formula1>
          <xm:sqref>L2:L500</xm:sqref>
        </x14:dataValidation>
        <x14:dataValidation type="list" xr:uid="{00000000-0002-0000-0400-000001000000}">
          <x14:formula1>
            <xm:f>Lists!$B$2:$B$5</xm:f>
          </x14:formula1>
          <xm:sqref>F2:F500</xm:sqref>
        </x14:dataValidation>
        <x14:dataValidation type="list" xr:uid="{00000000-0002-0000-0400-000002000000}">
          <x14:formula1>
            <xm:f>Lists!$C$2:$C$6</xm:f>
          </x14:formula1>
          <xm:sqref>G2:G500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3"/>
  <sheetViews>
    <sheetView tabSelected="1" zoomScaleNormal="100" zoomScaleSheetLayoutView="100" workbookViewId="0"/>
  </sheetViews>
  <sheetFormatPr defaultRowHeight="15"/>
  <cols>
    <col min="1" max="1" width="12.5" bestFit="1" customWidth="1"/>
    <col min="2" max="2" width="36.5" bestFit="1" customWidth="1"/>
    <col min="3" max="3" width="89.375" bestFit="1" customWidth="1"/>
    <col min="4" max="4" width="46.25" bestFit="1" customWidth="1"/>
  </cols>
  <sheetData>
    <row r="1" spans="1:4">
      <c r="A1" s="3" t="s">
        <v>7</v>
      </c>
      <c r="B1" s="3" t="s">
        <v>595</v>
      </c>
      <c r="C1" s="3" t="s">
        <v>596</v>
      </c>
      <c r="D1" s="3" t="s">
        <v>597</v>
      </c>
    </row>
    <row r="2" spans="1:4">
      <c r="A2" t="s">
        <v>73</v>
      </c>
      <c r="B2" t="s">
        <v>598</v>
      </c>
      <c r="C2" t="s">
        <v>599</v>
      </c>
      <c r="D2" t="s">
        <v>600</v>
      </c>
    </row>
    <row r="3" spans="1:4">
      <c r="A3" t="s">
        <v>65</v>
      </c>
      <c r="B3" t="s">
        <v>601</v>
      </c>
      <c r="C3" t="s">
        <v>602</v>
      </c>
      <c r="D3" t="s">
        <v>603</v>
      </c>
    </row>
    <row r="4" spans="1:4">
      <c r="A4" t="s">
        <v>25</v>
      </c>
      <c r="B4" t="s">
        <v>604</v>
      </c>
      <c r="C4" t="s">
        <v>605</v>
      </c>
      <c r="D4" t="s">
        <v>606</v>
      </c>
    </row>
    <row r="5" spans="1:4">
      <c r="A5" t="s">
        <v>120</v>
      </c>
      <c r="B5" t="s">
        <v>607</v>
      </c>
      <c r="C5" t="s">
        <v>608</v>
      </c>
      <c r="D5" t="s">
        <v>609</v>
      </c>
    </row>
    <row r="6" spans="1:4">
      <c r="A6" t="s">
        <v>40</v>
      </c>
      <c r="B6" t="s">
        <v>610</v>
      </c>
      <c r="C6" t="s">
        <v>611</v>
      </c>
      <c r="D6" t="s">
        <v>612</v>
      </c>
    </row>
    <row r="7" spans="1:4">
      <c r="A7" t="s">
        <v>55</v>
      </c>
      <c r="B7" t="s">
        <v>613</v>
      </c>
      <c r="C7" t="s">
        <v>614</v>
      </c>
      <c r="D7" t="s">
        <v>615</v>
      </c>
    </row>
    <row r="8" spans="1:4">
      <c r="A8" t="s">
        <v>234</v>
      </c>
      <c r="B8" t="s">
        <v>616</v>
      </c>
      <c r="C8" t="s">
        <v>617</v>
      </c>
      <c r="D8" t="s">
        <v>618</v>
      </c>
    </row>
    <row r="9" spans="1:4">
      <c r="A9" t="s">
        <v>135</v>
      </c>
      <c r="B9" t="s">
        <v>619</v>
      </c>
      <c r="C9" t="s">
        <v>620</v>
      </c>
      <c r="D9" t="s">
        <v>621</v>
      </c>
    </row>
    <row r="10" spans="1:4">
      <c r="A10" t="s">
        <v>49</v>
      </c>
      <c r="B10" t="s">
        <v>622</v>
      </c>
      <c r="C10" t="s">
        <v>623</v>
      </c>
      <c r="D10" t="s">
        <v>624</v>
      </c>
    </row>
    <row r="11" spans="1:4">
      <c r="A11" t="s">
        <v>302</v>
      </c>
      <c r="B11" t="s">
        <v>625</v>
      </c>
      <c r="C11" t="s">
        <v>626</v>
      </c>
      <c r="D11" t="s">
        <v>627</v>
      </c>
    </row>
    <row r="12" spans="1:4">
      <c r="A12" t="s">
        <v>84</v>
      </c>
      <c r="B12" t="s">
        <v>628</v>
      </c>
      <c r="C12" t="s">
        <v>629</v>
      </c>
      <c r="D12" t="s">
        <v>630</v>
      </c>
    </row>
    <row r="13" spans="1:4">
      <c r="A13" t="s">
        <v>259</v>
      </c>
      <c r="B13" t="s">
        <v>631</v>
      </c>
      <c r="C13" t="s">
        <v>632</v>
      </c>
      <c r="D13" t="s">
        <v>633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8"/>
  <sheetViews>
    <sheetView zoomScaleNormal="100" zoomScaleSheetLayoutView="100" workbookViewId="0">
      <selection activeCell="C21" sqref="C21"/>
    </sheetView>
  </sheetViews>
  <sheetFormatPr defaultRowHeight="15"/>
  <cols>
    <col min="1" max="1" width="8.375" bestFit="1" customWidth="1"/>
    <col min="2" max="2" width="25" bestFit="1" customWidth="1"/>
    <col min="3" max="3" width="94.625" bestFit="1" customWidth="1"/>
    <col min="4" max="4" width="13.875" bestFit="1" customWidth="1"/>
  </cols>
  <sheetData>
    <row r="1" spans="1:4">
      <c r="A1" s="3" t="s">
        <v>634</v>
      </c>
      <c r="B1" s="3" t="s">
        <v>635</v>
      </c>
      <c r="C1" s="3" t="s">
        <v>596</v>
      </c>
      <c r="D1" s="3" t="s">
        <v>636</v>
      </c>
    </row>
    <row r="2" spans="1:4">
      <c r="A2" t="s">
        <v>75</v>
      </c>
      <c r="B2" t="s">
        <v>637</v>
      </c>
      <c r="C2" t="s">
        <v>638</v>
      </c>
      <c r="D2" t="s">
        <v>639</v>
      </c>
    </row>
    <row r="3" spans="1:4">
      <c r="A3" t="s">
        <v>34</v>
      </c>
      <c r="B3" t="s">
        <v>640</v>
      </c>
      <c r="C3" t="s">
        <v>641</v>
      </c>
      <c r="D3" t="s">
        <v>639</v>
      </c>
    </row>
    <row r="4" spans="1:4">
      <c r="A4" t="s">
        <v>122</v>
      </c>
      <c r="B4" t="s">
        <v>642</v>
      </c>
      <c r="C4" t="s">
        <v>643</v>
      </c>
      <c r="D4" t="s">
        <v>639</v>
      </c>
    </row>
    <row r="5" spans="1:4">
      <c r="A5" t="s">
        <v>42</v>
      </c>
      <c r="B5" t="s">
        <v>644</v>
      </c>
      <c r="C5" t="s">
        <v>645</v>
      </c>
      <c r="D5" t="s">
        <v>639</v>
      </c>
    </row>
    <row r="6" spans="1:4">
      <c r="A6" t="s">
        <v>304</v>
      </c>
      <c r="B6" t="s">
        <v>625</v>
      </c>
      <c r="C6" t="s">
        <v>646</v>
      </c>
      <c r="D6" t="s">
        <v>639</v>
      </c>
    </row>
    <row r="7" spans="1:4">
      <c r="A7" t="s">
        <v>236</v>
      </c>
      <c r="B7" t="s">
        <v>647</v>
      </c>
      <c r="C7" t="s">
        <v>648</v>
      </c>
      <c r="D7" t="s">
        <v>649</v>
      </c>
    </row>
    <row r="8" spans="1:4">
      <c r="A8" t="s">
        <v>27</v>
      </c>
      <c r="B8" t="s">
        <v>650</v>
      </c>
      <c r="C8" t="s">
        <v>651</v>
      </c>
      <c r="D8" t="s">
        <v>47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0"/>
  <sheetViews>
    <sheetView topLeftCell="E1" zoomScaleNormal="100" zoomScaleSheetLayoutView="100" workbookViewId="0"/>
  </sheetViews>
  <sheetFormatPr defaultRowHeight="15"/>
  <cols>
    <col min="1" max="1" width="28" customWidth="1"/>
    <col min="2" max="2" width="6" bestFit="1" customWidth="1"/>
  </cols>
  <sheetData>
    <row r="1" spans="1:2">
      <c r="A1" s="1" t="s">
        <v>652</v>
      </c>
      <c r="B1" s="1" t="s">
        <v>653</v>
      </c>
    </row>
    <row r="2" spans="1:2">
      <c r="A2" t="s">
        <v>654</v>
      </c>
      <c r="B2">
        <f>COUNTA('Requirements Master'!A2:A500)</f>
        <v>123</v>
      </c>
    </row>
    <row r="3" spans="1:2">
      <c r="A3" t="s">
        <v>29</v>
      </c>
      <c r="B3">
        <f>COUNTIF('Requirements Master'!L2:L500,"Planned")</f>
        <v>123</v>
      </c>
    </row>
    <row r="4" spans="1:2">
      <c r="A4" t="s">
        <v>655</v>
      </c>
      <c r="B4">
        <f>COUNTIF('Requirements Master'!L2:L500,"In Progress")</f>
        <v>0</v>
      </c>
    </row>
    <row r="5" spans="1:2">
      <c r="A5" t="s">
        <v>656</v>
      </c>
      <c r="B5">
        <f>COUNTIF('Requirements Master'!L2:L500,"Verified")</f>
        <v>0</v>
      </c>
    </row>
    <row r="6" spans="1:2">
      <c r="A6" t="s">
        <v>657</v>
      </c>
      <c r="B6">
        <f>COUNTIF('Requirements Master'!L2:L500,"Failed")</f>
        <v>0</v>
      </c>
    </row>
    <row r="7" spans="1:2">
      <c r="A7" t="s">
        <v>71</v>
      </c>
      <c r="B7">
        <f>COUNTIF('Requirements Master'!E2:E500,"GCS Verification")</f>
        <v>27</v>
      </c>
    </row>
    <row r="8" spans="1:2">
      <c r="A8" t="s">
        <v>141</v>
      </c>
      <c r="B8">
        <f>COUNTIF('Requirements Master'!E2:E500,"UAV Verification")</f>
        <v>17</v>
      </c>
    </row>
    <row r="9" spans="1:2">
      <c r="A9" t="s">
        <v>22</v>
      </c>
      <c r="B9">
        <f>COUNTIF('Requirements Master'!E2:E500,"System Integration")</f>
        <v>56</v>
      </c>
    </row>
    <row r="10" spans="1:2">
      <c r="A10" t="s">
        <v>47</v>
      </c>
      <c r="B10">
        <f>COUNTIF('Requirements Master'!E2:E500,"Flight Test")</f>
        <v>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6"/>
  <sheetViews>
    <sheetView zoomScaleNormal="100" zoomScaleSheetLayoutView="100" workbookViewId="0"/>
  </sheetViews>
  <sheetFormatPr defaultRowHeight="15"/>
  <cols>
    <col min="1" max="1" width="10.25" bestFit="1" customWidth="1"/>
    <col min="2" max="2" width="13.5" bestFit="1" customWidth="1"/>
    <col min="3" max="3" width="10.875" bestFit="1" customWidth="1"/>
  </cols>
  <sheetData>
    <row r="1" spans="1:3">
      <c r="A1" s="1" t="s">
        <v>11</v>
      </c>
      <c r="B1" s="1" t="s">
        <v>658</v>
      </c>
      <c r="C1" s="1" t="s">
        <v>659</v>
      </c>
    </row>
    <row r="2" spans="1:3">
      <c r="A2" t="s">
        <v>29</v>
      </c>
      <c r="B2" t="s">
        <v>72</v>
      </c>
      <c r="C2" t="s">
        <v>491</v>
      </c>
    </row>
    <row r="3" spans="1:3">
      <c r="A3" t="s">
        <v>655</v>
      </c>
      <c r="B3" t="s">
        <v>438</v>
      </c>
      <c r="C3" t="s">
        <v>248</v>
      </c>
    </row>
    <row r="4" spans="1:3">
      <c r="A4" t="s">
        <v>656</v>
      </c>
      <c r="B4" t="s">
        <v>23</v>
      </c>
      <c r="C4" t="s">
        <v>142</v>
      </c>
    </row>
    <row r="5" spans="1:3">
      <c r="A5" t="s">
        <v>657</v>
      </c>
      <c r="B5" t="s">
        <v>39</v>
      </c>
      <c r="C5" t="s">
        <v>24</v>
      </c>
    </row>
    <row r="6" spans="1:3">
      <c r="C6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2026-07-12T14:33:31Z</dcterms:created>
  <dcterms:modified xsi:type="dcterms:W3CDTF">2026-07-12T15:37:50Z</dcterms:modified>
  <cp:category/>
  <cp:contentStatus/>
</cp:coreProperties>
</file>